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even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Break-even Curve</a:t>
            </a:r>
          </a:p>
        </rich>
      </tx>
    </title>
    <plotArea>
      <lineChart>
        <grouping val="standard"/>
        <ser>
          <idx val="0"/>
          <order val="0"/>
          <tx>
            <strRef>
              <f>'Breakeven_Monthly'!B10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'Breakeven_Monthly'!$A$11:$A$210</f>
            </numRef>
          </cat>
          <val>
            <numRef>
              <f>'Breakeven_Monthly'!$B$11:$B$210</f>
            </numRef>
          </val>
        </ser>
        <ser>
          <idx val="1"/>
          <order val="1"/>
          <tx>
            <strRef>
              <f>'Breakeven_Monthly'!C10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'Breakeven_Monthly'!$A$11:$A$210</f>
            </numRef>
          </cat>
          <val>
            <numRef>
              <f>'Breakeven_Monthly'!$C$11:$C$210</f>
            </numRef>
          </val>
        </ser>
        <ser>
          <idx val="2"/>
          <order val="2"/>
          <tx>
            <strRef>
              <f>'Breakeven_Monthly'!D10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'Breakeven_Monthly'!$A$11:$A$210</f>
            </numRef>
          </cat>
          <val>
            <numRef>
              <f>'Breakeven_Monthly'!$D$11:$D$210</f>
            </numRef>
          </val>
        </ser>
        <ser>
          <idx val="3"/>
          <order val="3"/>
          <tx>
            <v>Break-even Point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Paying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0" customWidth="1" min="4" max="4"/>
    <col width="18" customWidth="1" min="5" max="5"/>
    <col width="24" customWidth="1" min="6" max="6"/>
    <col width="2" customWidth="1" min="7" max="7"/>
    <col width="2" customWidth="1" min="8" max="8"/>
  </cols>
  <sheetData>
    <row r="1">
      <c r="A1" s="1" t="inlineStr">
        <is>
          <t>Monthly Break-even Curve Template</t>
        </is>
      </c>
    </row>
    <row r="2">
      <c r="A2" s="2" t="inlineStr">
        <is>
          <t>Fill yellow cells. Chart updates automatically.</t>
        </is>
      </c>
    </row>
    <row r="4">
      <c r="A4" s="3" t="inlineStr">
        <is>
          <t>Inputs</t>
        </is>
      </c>
    </row>
    <row r="5">
      <c r="A5" s="4" t="inlineStr">
        <is>
          <t>Monthly Fixed Costs</t>
        </is>
      </c>
      <c r="B5" s="5" t="inlineStr">
        <is>
          <t>CNY/month</t>
        </is>
      </c>
      <c r="C5" s="6" t="n">
        <v>0</v>
      </c>
      <c r="E5" s="7" t="inlineStr">
        <is>
          <t>Break-even Paying Users</t>
        </is>
      </c>
      <c r="F5" s="8">
        <f>IF(C6=0,"",ROUNDUP(C5/C6,0))</f>
        <v/>
      </c>
    </row>
    <row r="6">
      <c r="A6" s="4" t="inlineStr">
        <is>
          <t>Contribution Margin per Paying User</t>
        </is>
      </c>
      <c r="B6" s="5" t="inlineStr">
        <is>
          <t>CNY/user/month</t>
        </is>
      </c>
      <c r="C6" s="6" t="n">
        <v>0</v>
      </c>
      <c r="E6" s="7" t="inlineStr">
        <is>
          <t>Break-even Revenue Equivalent</t>
        </is>
      </c>
      <c r="F6" s="9">
        <f>IF(C6=0,"",F5*C6)</f>
        <v/>
      </c>
    </row>
    <row r="7">
      <c r="A7" s="4" t="inlineStr">
        <is>
          <t>Max Paying Users (for curve)</t>
        </is>
      </c>
      <c r="B7" s="5" t="inlineStr">
        <is>
          <t>users</t>
        </is>
      </c>
      <c r="C7" s="10" t="n">
        <v>500</v>
      </c>
    </row>
    <row r="8">
      <c r="A8" s="4" t="inlineStr">
        <is>
          <t>Step Size</t>
        </is>
      </c>
      <c r="B8" s="5" t="inlineStr">
        <is>
          <t>users</t>
        </is>
      </c>
      <c r="C8" s="10" t="n">
        <v>10</v>
      </c>
    </row>
    <row r="9">
      <c r="A9" s="3" t="inlineStr">
        <is>
          <t>Curve Data</t>
        </is>
      </c>
    </row>
    <row r="10">
      <c r="A10" s="11" t="inlineStr">
        <is>
          <t>Paying Users</t>
        </is>
      </c>
      <c r="B10" s="11" t="inlineStr">
        <is>
          <t>Total Contribution Margin</t>
        </is>
      </c>
      <c r="C10" s="11" t="inlineStr">
        <is>
          <t>Fixed Costs</t>
        </is>
      </c>
      <c r="D10" s="11" t="inlineStr">
        <is>
          <t>Operating Profit/Loss</t>
        </is>
      </c>
      <c r="E10" s="11" t="inlineStr">
        <is>
          <t>Break-even Marker</t>
        </is>
      </c>
    </row>
    <row r="11">
      <c r="A11" s="5">
        <f>IF(0=0,0,0*$C$8)</f>
        <v/>
      </c>
      <c r="B11" s="9">
        <f>IF(A11&gt;$C$7,NA(),A11*$C$6)</f>
        <v/>
      </c>
      <c r="C11" s="9">
        <f>IF(A11&gt;$C$7,NA(),$C$5)</f>
        <v/>
      </c>
      <c r="D11" s="9">
        <f>IF(A11&gt;$C$7,NA(),B11-C11)</f>
        <v/>
      </c>
      <c r="E11" s="9">
        <f>IF(OR(A11&gt;$C$7,$F$5=""),NA(),IF(A11=$F$5,$C$5,NA()))</f>
        <v/>
      </c>
    </row>
    <row r="12">
      <c r="A12" s="5">
        <f>IF(1=0,0,1*$C$8)</f>
        <v/>
      </c>
      <c r="B12" s="9">
        <f>IF(A12&gt;$C$7,NA(),A12*$C$6)</f>
        <v/>
      </c>
      <c r="C12" s="9">
        <f>IF(A12&gt;$C$7,NA(),$C$5)</f>
        <v/>
      </c>
      <c r="D12" s="9">
        <f>IF(A12&gt;$C$7,NA(),B12-C12)</f>
        <v/>
      </c>
      <c r="E12" s="9">
        <f>IF(OR(A12&gt;$C$7,$F$5=""),NA(),IF(A12=$F$5,$C$5,NA()))</f>
        <v/>
      </c>
    </row>
    <row r="13">
      <c r="A13" s="5">
        <f>IF(2=0,0,2*$C$8)</f>
        <v/>
      </c>
      <c r="B13" s="9">
        <f>IF(A13&gt;$C$7,NA(),A13*$C$6)</f>
        <v/>
      </c>
      <c r="C13" s="9">
        <f>IF(A13&gt;$C$7,NA(),$C$5)</f>
        <v/>
      </c>
      <c r="D13" s="9">
        <f>IF(A13&gt;$C$7,NA(),B13-C13)</f>
        <v/>
      </c>
      <c r="E13" s="9">
        <f>IF(OR(A13&gt;$C$7,$F$5=""),NA(),IF(A13=$F$5,$C$5,NA()))</f>
        <v/>
      </c>
    </row>
    <row r="14">
      <c r="A14" s="5">
        <f>IF(3=0,0,3*$C$8)</f>
        <v/>
      </c>
      <c r="B14" s="9">
        <f>IF(A14&gt;$C$7,NA(),A14*$C$6)</f>
        <v/>
      </c>
      <c r="C14" s="9">
        <f>IF(A14&gt;$C$7,NA(),$C$5)</f>
        <v/>
      </c>
      <c r="D14" s="9">
        <f>IF(A14&gt;$C$7,NA(),B14-C14)</f>
        <v/>
      </c>
      <c r="E14" s="9">
        <f>IF(OR(A14&gt;$C$7,$F$5=""),NA(),IF(A14=$F$5,$C$5,NA()))</f>
        <v/>
      </c>
    </row>
    <row r="15">
      <c r="A15" s="5">
        <f>IF(4=0,0,4*$C$8)</f>
        <v/>
      </c>
      <c r="B15" s="9">
        <f>IF(A15&gt;$C$7,NA(),A15*$C$6)</f>
        <v/>
      </c>
      <c r="C15" s="9">
        <f>IF(A15&gt;$C$7,NA(),$C$5)</f>
        <v/>
      </c>
      <c r="D15" s="9">
        <f>IF(A15&gt;$C$7,NA(),B15-C15)</f>
        <v/>
      </c>
      <c r="E15" s="9">
        <f>IF(OR(A15&gt;$C$7,$F$5=""),NA(),IF(A15=$F$5,$C$5,NA()))</f>
        <v/>
      </c>
    </row>
    <row r="16">
      <c r="A16" s="5">
        <f>IF(5=0,0,5*$C$8)</f>
        <v/>
      </c>
      <c r="B16" s="9">
        <f>IF(A16&gt;$C$7,NA(),A16*$C$6)</f>
        <v/>
      </c>
      <c r="C16" s="9">
        <f>IF(A16&gt;$C$7,NA(),$C$5)</f>
        <v/>
      </c>
      <c r="D16" s="9">
        <f>IF(A16&gt;$C$7,NA(),B16-C16)</f>
        <v/>
      </c>
      <c r="E16" s="9">
        <f>IF(OR(A16&gt;$C$7,$F$5=""),NA(),IF(A16=$F$5,$C$5,NA()))</f>
        <v/>
      </c>
    </row>
    <row r="17">
      <c r="A17" s="5">
        <f>IF(6=0,0,6*$C$8)</f>
        <v/>
      </c>
      <c r="B17" s="9">
        <f>IF(A17&gt;$C$7,NA(),A17*$C$6)</f>
        <v/>
      </c>
      <c r="C17" s="9">
        <f>IF(A17&gt;$C$7,NA(),$C$5)</f>
        <v/>
      </c>
      <c r="D17" s="9">
        <f>IF(A17&gt;$C$7,NA(),B17-C17)</f>
        <v/>
      </c>
      <c r="E17" s="9">
        <f>IF(OR(A17&gt;$C$7,$F$5=""),NA(),IF(A17=$F$5,$C$5,NA()))</f>
        <v/>
      </c>
    </row>
    <row r="18">
      <c r="A18" s="5">
        <f>IF(7=0,0,7*$C$8)</f>
        <v/>
      </c>
      <c r="B18" s="9">
        <f>IF(A18&gt;$C$7,NA(),A18*$C$6)</f>
        <v/>
      </c>
      <c r="C18" s="9">
        <f>IF(A18&gt;$C$7,NA(),$C$5)</f>
        <v/>
      </c>
      <c r="D18" s="9">
        <f>IF(A18&gt;$C$7,NA(),B18-C18)</f>
        <v/>
      </c>
      <c r="E18" s="9">
        <f>IF(OR(A18&gt;$C$7,$F$5=""),NA(),IF(A18=$F$5,$C$5,NA()))</f>
        <v/>
      </c>
    </row>
    <row r="19">
      <c r="A19" s="5">
        <f>IF(8=0,0,8*$C$8)</f>
        <v/>
      </c>
      <c r="B19" s="9">
        <f>IF(A19&gt;$C$7,NA(),A19*$C$6)</f>
        <v/>
      </c>
      <c r="C19" s="9">
        <f>IF(A19&gt;$C$7,NA(),$C$5)</f>
        <v/>
      </c>
      <c r="D19" s="9">
        <f>IF(A19&gt;$C$7,NA(),B19-C19)</f>
        <v/>
      </c>
      <c r="E19" s="9">
        <f>IF(OR(A19&gt;$C$7,$F$5=""),NA(),IF(A19=$F$5,$C$5,NA()))</f>
        <v/>
      </c>
    </row>
    <row r="20">
      <c r="A20" s="5">
        <f>IF(9=0,0,9*$C$8)</f>
        <v/>
      </c>
      <c r="B20" s="9">
        <f>IF(A20&gt;$C$7,NA(),A20*$C$6)</f>
        <v/>
      </c>
      <c r="C20" s="9">
        <f>IF(A20&gt;$C$7,NA(),$C$5)</f>
        <v/>
      </c>
      <c r="D20" s="9">
        <f>IF(A20&gt;$C$7,NA(),B20-C20)</f>
        <v/>
      </c>
      <c r="E20" s="9">
        <f>IF(OR(A20&gt;$C$7,$F$5=""),NA(),IF(A20=$F$5,$C$5,NA()))</f>
        <v/>
      </c>
    </row>
    <row r="21">
      <c r="A21" s="5">
        <f>IF(10=0,0,10*$C$8)</f>
        <v/>
      </c>
      <c r="B21" s="9">
        <f>IF(A21&gt;$C$7,NA(),A21*$C$6)</f>
        <v/>
      </c>
      <c r="C21" s="9">
        <f>IF(A21&gt;$C$7,NA(),$C$5)</f>
        <v/>
      </c>
      <c r="D21" s="9">
        <f>IF(A21&gt;$C$7,NA(),B21-C21)</f>
        <v/>
      </c>
      <c r="E21" s="9">
        <f>IF(OR(A21&gt;$C$7,$F$5=""),NA(),IF(A21=$F$5,$C$5,NA()))</f>
        <v/>
      </c>
    </row>
    <row r="22">
      <c r="A22" s="5">
        <f>IF(11=0,0,11*$C$8)</f>
        <v/>
      </c>
      <c r="B22" s="9">
        <f>IF(A22&gt;$C$7,NA(),A22*$C$6)</f>
        <v/>
      </c>
      <c r="C22" s="9">
        <f>IF(A22&gt;$C$7,NA(),$C$5)</f>
        <v/>
      </c>
      <c r="D22" s="9">
        <f>IF(A22&gt;$C$7,NA(),B22-C22)</f>
        <v/>
      </c>
      <c r="E22" s="9">
        <f>IF(OR(A22&gt;$C$7,$F$5=""),NA(),IF(A22=$F$5,$C$5,NA()))</f>
        <v/>
      </c>
    </row>
    <row r="23">
      <c r="A23" s="5">
        <f>IF(12=0,0,12*$C$8)</f>
        <v/>
      </c>
      <c r="B23" s="9">
        <f>IF(A23&gt;$C$7,NA(),A23*$C$6)</f>
        <v/>
      </c>
      <c r="C23" s="9">
        <f>IF(A23&gt;$C$7,NA(),$C$5)</f>
        <v/>
      </c>
      <c r="D23" s="9">
        <f>IF(A23&gt;$C$7,NA(),B23-C23)</f>
        <v/>
      </c>
      <c r="E23" s="9">
        <f>IF(OR(A23&gt;$C$7,$F$5=""),NA(),IF(A23=$F$5,$C$5,NA()))</f>
        <v/>
      </c>
    </row>
    <row r="24">
      <c r="A24" s="5">
        <f>IF(13=0,0,13*$C$8)</f>
        <v/>
      </c>
      <c r="B24" s="9">
        <f>IF(A24&gt;$C$7,NA(),A24*$C$6)</f>
        <v/>
      </c>
      <c r="C24" s="9">
        <f>IF(A24&gt;$C$7,NA(),$C$5)</f>
        <v/>
      </c>
      <c r="D24" s="9">
        <f>IF(A24&gt;$C$7,NA(),B24-C24)</f>
        <v/>
      </c>
      <c r="E24" s="9">
        <f>IF(OR(A24&gt;$C$7,$F$5=""),NA(),IF(A24=$F$5,$C$5,NA()))</f>
        <v/>
      </c>
    </row>
    <row r="25">
      <c r="A25" s="5">
        <f>IF(14=0,0,14*$C$8)</f>
        <v/>
      </c>
      <c r="B25" s="9">
        <f>IF(A25&gt;$C$7,NA(),A25*$C$6)</f>
        <v/>
      </c>
      <c r="C25" s="9">
        <f>IF(A25&gt;$C$7,NA(),$C$5)</f>
        <v/>
      </c>
      <c r="D25" s="9">
        <f>IF(A25&gt;$C$7,NA(),B25-C25)</f>
        <v/>
      </c>
      <c r="E25" s="9">
        <f>IF(OR(A25&gt;$C$7,$F$5=""),NA(),IF(A25=$F$5,$C$5,NA()))</f>
        <v/>
      </c>
    </row>
    <row r="26">
      <c r="A26" s="5">
        <f>IF(15=0,0,15*$C$8)</f>
        <v/>
      </c>
      <c r="B26" s="9">
        <f>IF(A26&gt;$C$7,NA(),A26*$C$6)</f>
        <v/>
      </c>
      <c r="C26" s="9">
        <f>IF(A26&gt;$C$7,NA(),$C$5)</f>
        <v/>
      </c>
      <c r="D26" s="9">
        <f>IF(A26&gt;$C$7,NA(),B26-C26)</f>
        <v/>
      </c>
      <c r="E26" s="9">
        <f>IF(OR(A26&gt;$C$7,$F$5=""),NA(),IF(A26=$F$5,$C$5,NA()))</f>
        <v/>
      </c>
    </row>
    <row r="27">
      <c r="A27" s="5">
        <f>IF(16=0,0,16*$C$8)</f>
        <v/>
      </c>
      <c r="B27" s="9">
        <f>IF(A27&gt;$C$7,NA(),A27*$C$6)</f>
        <v/>
      </c>
      <c r="C27" s="9">
        <f>IF(A27&gt;$C$7,NA(),$C$5)</f>
        <v/>
      </c>
      <c r="D27" s="9">
        <f>IF(A27&gt;$C$7,NA(),B27-C27)</f>
        <v/>
      </c>
      <c r="E27" s="9">
        <f>IF(OR(A27&gt;$C$7,$F$5=""),NA(),IF(A27=$F$5,$C$5,NA()))</f>
        <v/>
      </c>
    </row>
    <row r="28">
      <c r="A28" s="5">
        <f>IF(17=0,0,17*$C$8)</f>
        <v/>
      </c>
      <c r="B28" s="9">
        <f>IF(A28&gt;$C$7,NA(),A28*$C$6)</f>
        <v/>
      </c>
      <c r="C28" s="9">
        <f>IF(A28&gt;$C$7,NA(),$C$5)</f>
        <v/>
      </c>
      <c r="D28" s="9">
        <f>IF(A28&gt;$C$7,NA(),B28-C28)</f>
        <v/>
      </c>
      <c r="E28" s="9">
        <f>IF(OR(A28&gt;$C$7,$F$5=""),NA(),IF(A28=$F$5,$C$5,NA()))</f>
        <v/>
      </c>
    </row>
    <row r="29">
      <c r="A29" s="5">
        <f>IF(18=0,0,18*$C$8)</f>
        <v/>
      </c>
      <c r="B29" s="9">
        <f>IF(A29&gt;$C$7,NA(),A29*$C$6)</f>
        <v/>
      </c>
      <c r="C29" s="9">
        <f>IF(A29&gt;$C$7,NA(),$C$5)</f>
        <v/>
      </c>
      <c r="D29" s="9">
        <f>IF(A29&gt;$C$7,NA(),B29-C29)</f>
        <v/>
      </c>
      <c r="E29" s="9">
        <f>IF(OR(A29&gt;$C$7,$F$5=""),NA(),IF(A29=$F$5,$C$5,NA()))</f>
        <v/>
      </c>
    </row>
    <row r="30">
      <c r="A30" s="5">
        <f>IF(19=0,0,19*$C$8)</f>
        <v/>
      </c>
      <c r="B30" s="9">
        <f>IF(A30&gt;$C$7,NA(),A30*$C$6)</f>
        <v/>
      </c>
      <c r="C30" s="9">
        <f>IF(A30&gt;$C$7,NA(),$C$5)</f>
        <v/>
      </c>
      <c r="D30" s="9">
        <f>IF(A30&gt;$C$7,NA(),B30-C30)</f>
        <v/>
      </c>
      <c r="E30" s="9">
        <f>IF(OR(A30&gt;$C$7,$F$5=""),NA(),IF(A30=$F$5,$C$5,NA()))</f>
        <v/>
      </c>
    </row>
    <row r="31">
      <c r="A31" s="5">
        <f>IF(20=0,0,20*$C$8)</f>
        <v/>
      </c>
      <c r="B31" s="9">
        <f>IF(A31&gt;$C$7,NA(),A31*$C$6)</f>
        <v/>
      </c>
      <c r="C31" s="9">
        <f>IF(A31&gt;$C$7,NA(),$C$5)</f>
        <v/>
      </c>
      <c r="D31" s="9">
        <f>IF(A31&gt;$C$7,NA(),B31-C31)</f>
        <v/>
      </c>
      <c r="E31" s="9">
        <f>IF(OR(A31&gt;$C$7,$F$5=""),NA(),IF(A31=$F$5,$C$5,NA()))</f>
        <v/>
      </c>
    </row>
    <row r="32">
      <c r="A32" s="5">
        <f>IF(21=0,0,21*$C$8)</f>
        <v/>
      </c>
      <c r="B32" s="9">
        <f>IF(A32&gt;$C$7,NA(),A32*$C$6)</f>
        <v/>
      </c>
      <c r="C32" s="9">
        <f>IF(A32&gt;$C$7,NA(),$C$5)</f>
        <v/>
      </c>
      <c r="D32" s="9">
        <f>IF(A32&gt;$C$7,NA(),B32-C32)</f>
        <v/>
      </c>
      <c r="E32" s="9">
        <f>IF(OR(A32&gt;$C$7,$F$5=""),NA(),IF(A32=$F$5,$C$5,NA()))</f>
        <v/>
      </c>
    </row>
    <row r="33">
      <c r="A33" s="5">
        <f>IF(22=0,0,22*$C$8)</f>
        <v/>
      </c>
      <c r="B33" s="9">
        <f>IF(A33&gt;$C$7,NA(),A33*$C$6)</f>
        <v/>
      </c>
      <c r="C33" s="9">
        <f>IF(A33&gt;$C$7,NA(),$C$5)</f>
        <v/>
      </c>
      <c r="D33" s="9">
        <f>IF(A33&gt;$C$7,NA(),B33-C33)</f>
        <v/>
      </c>
      <c r="E33" s="9">
        <f>IF(OR(A33&gt;$C$7,$F$5=""),NA(),IF(A33=$F$5,$C$5,NA()))</f>
        <v/>
      </c>
    </row>
    <row r="34">
      <c r="A34" s="5">
        <f>IF(23=0,0,23*$C$8)</f>
        <v/>
      </c>
      <c r="B34" s="9">
        <f>IF(A34&gt;$C$7,NA(),A34*$C$6)</f>
        <v/>
      </c>
      <c r="C34" s="9">
        <f>IF(A34&gt;$C$7,NA(),$C$5)</f>
        <v/>
      </c>
      <c r="D34" s="9">
        <f>IF(A34&gt;$C$7,NA(),B34-C34)</f>
        <v/>
      </c>
      <c r="E34" s="9">
        <f>IF(OR(A34&gt;$C$7,$F$5=""),NA(),IF(A34=$F$5,$C$5,NA()))</f>
        <v/>
      </c>
    </row>
    <row r="35">
      <c r="A35" s="5">
        <f>IF(24=0,0,24*$C$8)</f>
        <v/>
      </c>
      <c r="B35" s="9">
        <f>IF(A35&gt;$C$7,NA(),A35*$C$6)</f>
        <v/>
      </c>
      <c r="C35" s="9">
        <f>IF(A35&gt;$C$7,NA(),$C$5)</f>
        <v/>
      </c>
      <c r="D35" s="9">
        <f>IF(A35&gt;$C$7,NA(),B35-C35)</f>
        <v/>
      </c>
      <c r="E35" s="9">
        <f>IF(OR(A35&gt;$C$7,$F$5=""),NA(),IF(A35=$F$5,$C$5,NA()))</f>
        <v/>
      </c>
    </row>
    <row r="36">
      <c r="A36" s="5">
        <f>IF(25=0,0,25*$C$8)</f>
        <v/>
      </c>
      <c r="B36" s="9">
        <f>IF(A36&gt;$C$7,NA(),A36*$C$6)</f>
        <v/>
      </c>
      <c r="C36" s="9">
        <f>IF(A36&gt;$C$7,NA(),$C$5)</f>
        <v/>
      </c>
      <c r="D36" s="9">
        <f>IF(A36&gt;$C$7,NA(),B36-C36)</f>
        <v/>
      </c>
      <c r="E36" s="9">
        <f>IF(OR(A36&gt;$C$7,$F$5=""),NA(),IF(A36=$F$5,$C$5,NA()))</f>
        <v/>
      </c>
    </row>
    <row r="37">
      <c r="A37" s="5">
        <f>IF(26=0,0,26*$C$8)</f>
        <v/>
      </c>
      <c r="B37" s="9">
        <f>IF(A37&gt;$C$7,NA(),A37*$C$6)</f>
        <v/>
      </c>
      <c r="C37" s="9">
        <f>IF(A37&gt;$C$7,NA(),$C$5)</f>
        <v/>
      </c>
      <c r="D37" s="9">
        <f>IF(A37&gt;$C$7,NA(),B37-C37)</f>
        <v/>
      </c>
      <c r="E37" s="9">
        <f>IF(OR(A37&gt;$C$7,$F$5=""),NA(),IF(A37=$F$5,$C$5,NA()))</f>
        <v/>
      </c>
    </row>
    <row r="38">
      <c r="A38" s="5">
        <f>IF(27=0,0,27*$C$8)</f>
        <v/>
      </c>
      <c r="B38" s="9">
        <f>IF(A38&gt;$C$7,NA(),A38*$C$6)</f>
        <v/>
      </c>
      <c r="C38" s="9">
        <f>IF(A38&gt;$C$7,NA(),$C$5)</f>
        <v/>
      </c>
      <c r="D38" s="9">
        <f>IF(A38&gt;$C$7,NA(),B38-C38)</f>
        <v/>
      </c>
      <c r="E38" s="9">
        <f>IF(OR(A38&gt;$C$7,$F$5=""),NA(),IF(A38=$F$5,$C$5,NA()))</f>
        <v/>
      </c>
    </row>
    <row r="39">
      <c r="A39" s="5">
        <f>IF(28=0,0,28*$C$8)</f>
        <v/>
      </c>
      <c r="B39" s="9">
        <f>IF(A39&gt;$C$7,NA(),A39*$C$6)</f>
        <v/>
      </c>
      <c r="C39" s="9">
        <f>IF(A39&gt;$C$7,NA(),$C$5)</f>
        <v/>
      </c>
      <c r="D39" s="9">
        <f>IF(A39&gt;$C$7,NA(),B39-C39)</f>
        <v/>
      </c>
      <c r="E39" s="9">
        <f>IF(OR(A39&gt;$C$7,$F$5=""),NA(),IF(A39=$F$5,$C$5,NA()))</f>
        <v/>
      </c>
    </row>
    <row r="40">
      <c r="A40" s="12" t="inlineStr">
        <is>
          <t>Notes</t>
        </is>
      </c>
      <c r="B40" s="13" t="n"/>
      <c r="C40" s="13" t="n"/>
      <c r="D40" s="13" t="n"/>
      <c r="E40" s="13" t="n"/>
      <c r="F40" s="13" t="n"/>
      <c r="G40" s="13" t="n"/>
      <c r="H40" s="14" t="n"/>
    </row>
    <row r="41">
      <c r="A41" s="4" t="inlineStr">
        <is>
          <t>• Break-even paying users = Monthly Fixed Costs / Contribution Margin per paying user.</t>
        </is>
      </c>
      <c r="B41" s="13" t="n"/>
      <c r="C41" s="13" t="n"/>
      <c r="D41" s="13" t="n"/>
      <c r="E41" s="13" t="n"/>
      <c r="F41" s="13" t="n"/>
      <c r="G41" s="13" t="n"/>
      <c r="H41" s="14" t="n"/>
    </row>
    <row r="42">
      <c r="A42" s="4" t="inlineStr">
        <is>
          <t>• Contribution Margin per paying user should include ALL variable costs tied to serving one paying user (content delivery, support, tools).</t>
        </is>
      </c>
      <c r="B42" s="13" t="n"/>
      <c r="C42" s="13" t="n"/>
      <c r="D42" s="13" t="n"/>
      <c r="E42" s="13" t="n"/>
      <c r="F42" s="13" t="n"/>
      <c r="G42" s="13" t="n"/>
      <c r="H42" s="14" t="n"/>
    </row>
    <row r="43">
      <c r="A43" s="4" t="inlineStr">
        <is>
          <t>• Fixed costs should include salaries/stipends, base tool subscriptions, admin costs, and other monthly overhead.</t>
        </is>
      </c>
      <c r="B43" s="13" t="n"/>
      <c r="C43" s="13" t="n"/>
      <c r="D43" s="13" t="n"/>
      <c r="E43" s="13" t="n"/>
      <c r="F43" s="13" t="n"/>
      <c r="G43" s="13" t="n"/>
      <c r="H43" s="14" t="n"/>
    </row>
    <row r="44">
      <c r="A44" s="5">
        <f>IF(33=0,0,33*$C$8)</f>
        <v/>
      </c>
      <c r="B44" s="9">
        <f>IF(A44&gt;$C$7,NA(),A44*$C$6)</f>
        <v/>
      </c>
      <c r="C44" s="9">
        <f>IF(A44&gt;$C$7,NA(),$C$5)</f>
        <v/>
      </c>
      <c r="D44" s="9">
        <f>IF(A44&gt;$C$7,NA(),B44-C44)</f>
        <v/>
      </c>
      <c r="E44" s="9">
        <f>IF(OR(A44&gt;$C$7,$F$5=""),NA(),IF(A44=$F$5,$C$5,NA()))</f>
        <v/>
      </c>
    </row>
    <row r="45">
      <c r="A45" s="5">
        <f>IF(34=0,0,34*$C$8)</f>
        <v/>
      </c>
      <c r="B45" s="9">
        <f>IF(A45&gt;$C$7,NA(),A45*$C$6)</f>
        <v/>
      </c>
      <c r="C45" s="9">
        <f>IF(A45&gt;$C$7,NA(),$C$5)</f>
        <v/>
      </c>
      <c r="D45" s="9">
        <f>IF(A45&gt;$C$7,NA(),B45-C45)</f>
        <v/>
      </c>
      <c r="E45" s="9">
        <f>IF(OR(A45&gt;$C$7,$F$5=""),NA(),IF(A45=$F$5,$C$5,NA()))</f>
        <v/>
      </c>
    </row>
    <row r="46">
      <c r="A46" s="5">
        <f>IF(35=0,0,35*$C$8)</f>
        <v/>
      </c>
      <c r="B46" s="9">
        <f>IF(A46&gt;$C$7,NA(),A46*$C$6)</f>
        <v/>
      </c>
      <c r="C46" s="9">
        <f>IF(A46&gt;$C$7,NA(),$C$5)</f>
        <v/>
      </c>
      <c r="D46" s="9">
        <f>IF(A46&gt;$C$7,NA(),B46-C46)</f>
        <v/>
      </c>
      <c r="E46" s="9">
        <f>IF(OR(A46&gt;$C$7,$F$5=""),NA(),IF(A46=$F$5,$C$5,NA()))</f>
        <v/>
      </c>
    </row>
    <row r="47">
      <c r="A47" s="5">
        <f>IF(36=0,0,36*$C$8)</f>
        <v/>
      </c>
      <c r="B47" s="9">
        <f>IF(A47&gt;$C$7,NA(),A47*$C$6)</f>
        <v/>
      </c>
      <c r="C47" s="9">
        <f>IF(A47&gt;$C$7,NA(),$C$5)</f>
        <v/>
      </c>
      <c r="D47" s="9">
        <f>IF(A47&gt;$C$7,NA(),B47-C47)</f>
        <v/>
      </c>
      <c r="E47" s="9">
        <f>IF(OR(A47&gt;$C$7,$F$5=""),NA(),IF(A47=$F$5,$C$5,NA()))</f>
        <v/>
      </c>
    </row>
    <row r="48">
      <c r="A48" s="5">
        <f>IF(37=0,0,37*$C$8)</f>
        <v/>
      </c>
      <c r="B48" s="9">
        <f>IF(A48&gt;$C$7,NA(),A48*$C$6)</f>
        <v/>
      </c>
      <c r="C48" s="9">
        <f>IF(A48&gt;$C$7,NA(),$C$5)</f>
        <v/>
      </c>
      <c r="D48" s="9">
        <f>IF(A48&gt;$C$7,NA(),B48-C48)</f>
        <v/>
      </c>
      <c r="E48" s="9">
        <f>IF(OR(A48&gt;$C$7,$F$5=""),NA(),IF(A48=$F$5,$C$5,NA()))</f>
        <v/>
      </c>
    </row>
    <row r="49">
      <c r="A49" s="5">
        <f>IF(38=0,0,38*$C$8)</f>
        <v/>
      </c>
      <c r="B49" s="9">
        <f>IF(A49&gt;$C$7,NA(),A49*$C$6)</f>
        <v/>
      </c>
      <c r="C49" s="9">
        <f>IF(A49&gt;$C$7,NA(),$C$5)</f>
        <v/>
      </c>
      <c r="D49" s="9">
        <f>IF(A49&gt;$C$7,NA(),B49-C49)</f>
        <v/>
      </c>
      <c r="E49" s="9">
        <f>IF(OR(A49&gt;$C$7,$F$5=""),NA(),IF(A49=$F$5,$C$5,NA()))</f>
        <v/>
      </c>
    </row>
    <row r="50">
      <c r="A50" s="5">
        <f>IF(39=0,0,39*$C$8)</f>
        <v/>
      </c>
      <c r="B50" s="9">
        <f>IF(A50&gt;$C$7,NA(),A50*$C$6)</f>
        <v/>
      </c>
      <c r="C50" s="9">
        <f>IF(A50&gt;$C$7,NA(),$C$5)</f>
        <v/>
      </c>
      <c r="D50" s="9">
        <f>IF(A50&gt;$C$7,NA(),B50-C50)</f>
        <v/>
      </c>
      <c r="E50" s="9">
        <f>IF(OR(A50&gt;$C$7,$F$5=""),NA(),IF(A50=$F$5,$C$5,NA()))</f>
        <v/>
      </c>
    </row>
    <row r="51">
      <c r="A51" s="5">
        <f>IF(40=0,0,40*$C$8)</f>
        <v/>
      </c>
      <c r="B51" s="9">
        <f>IF(A51&gt;$C$7,NA(),A51*$C$6)</f>
        <v/>
      </c>
      <c r="C51" s="9">
        <f>IF(A51&gt;$C$7,NA(),$C$5)</f>
        <v/>
      </c>
      <c r="D51" s="9">
        <f>IF(A51&gt;$C$7,NA(),B51-C51)</f>
        <v/>
      </c>
      <c r="E51" s="9">
        <f>IF(OR(A51&gt;$C$7,$F$5=""),NA(),IF(A51=$F$5,$C$5,NA()))</f>
        <v/>
      </c>
    </row>
    <row r="52">
      <c r="A52" s="5">
        <f>IF(41=0,0,41*$C$8)</f>
        <v/>
      </c>
      <c r="B52" s="9">
        <f>IF(A52&gt;$C$7,NA(),A52*$C$6)</f>
        <v/>
      </c>
      <c r="C52" s="9">
        <f>IF(A52&gt;$C$7,NA(),$C$5)</f>
        <v/>
      </c>
      <c r="D52" s="9">
        <f>IF(A52&gt;$C$7,NA(),B52-C52)</f>
        <v/>
      </c>
      <c r="E52" s="9">
        <f>IF(OR(A52&gt;$C$7,$F$5=""),NA(),IF(A52=$F$5,$C$5,NA()))</f>
        <v/>
      </c>
    </row>
    <row r="53">
      <c r="A53" s="5">
        <f>IF(42=0,0,42*$C$8)</f>
        <v/>
      </c>
      <c r="B53" s="9">
        <f>IF(A53&gt;$C$7,NA(),A53*$C$6)</f>
        <v/>
      </c>
      <c r="C53" s="9">
        <f>IF(A53&gt;$C$7,NA(),$C$5)</f>
        <v/>
      </c>
      <c r="D53" s="9">
        <f>IF(A53&gt;$C$7,NA(),B53-C53)</f>
        <v/>
      </c>
      <c r="E53" s="9">
        <f>IF(OR(A53&gt;$C$7,$F$5=""),NA(),IF(A53=$F$5,$C$5,NA()))</f>
        <v/>
      </c>
    </row>
    <row r="54">
      <c r="A54" s="5">
        <f>IF(43=0,0,43*$C$8)</f>
        <v/>
      </c>
      <c r="B54" s="9">
        <f>IF(A54&gt;$C$7,NA(),A54*$C$6)</f>
        <v/>
      </c>
      <c r="C54" s="9">
        <f>IF(A54&gt;$C$7,NA(),$C$5)</f>
        <v/>
      </c>
      <c r="D54" s="9">
        <f>IF(A54&gt;$C$7,NA(),B54-C54)</f>
        <v/>
      </c>
      <c r="E54" s="9">
        <f>IF(OR(A54&gt;$C$7,$F$5=""),NA(),IF(A54=$F$5,$C$5,NA()))</f>
        <v/>
      </c>
    </row>
    <row r="55">
      <c r="A55" s="5">
        <f>IF(44=0,0,44*$C$8)</f>
        <v/>
      </c>
      <c r="B55" s="9">
        <f>IF(A55&gt;$C$7,NA(),A55*$C$6)</f>
        <v/>
      </c>
      <c r="C55" s="9">
        <f>IF(A55&gt;$C$7,NA(),$C$5)</f>
        <v/>
      </c>
      <c r="D55" s="9">
        <f>IF(A55&gt;$C$7,NA(),B55-C55)</f>
        <v/>
      </c>
      <c r="E55" s="9">
        <f>IF(OR(A55&gt;$C$7,$F$5=""),NA(),IF(A55=$F$5,$C$5,NA()))</f>
        <v/>
      </c>
    </row>
    <row r="56">
      <c r="A56" s="5">
        <f>IF(45=0,0,45*$C$8)</f>
        <v/>
      </c>
      <c r="B56" s="9">
        <f>IF(A56&gt;$C$7,NA(),A56*$C$6)</f>
        <v/>
      </c>
      <c r="C56" s="9">
        <f>IF(A56&gt;$C$7,NA(),$C$5)</f>
        <v/>
      </c>
      <c r="D56" s="9">
        <f>IF(A56&gt;$C$7,NA(),B56-C56)</f>
        <v/>
      </c>
      <c r="E56" s="9">
        <f>IF(OR(A56&gt;$C$7,$F$5=""),NA(),IF(A56=$F$5,$C$5,NA()))</f>
        <v/>
      </c>
    </row>
    <row r="57">
      <c r="A57" s="5">
        <f>IF(46=0,0,46*$C$8)</f>
        <v/>
      </c>
      <c r="B57" s="9">
        <f>IF(A57&gt;$C$7,NA(),A57*$C$6)</f>
        <v/>
      </c>
      <c r="C57" s="9">
        <f>IF(A57&gt;$C$7,NA(),$C$5)</f>
        <v/>
      </c>
      <c r="D57" s="9">
        <f>IF(A57&gt;$C$7,NA(),B57-C57)</f>
        <v/>
      </c>
      <c r="E57" s="9">
        <f>IF(OR(A57&gt;$C$7,$F$5=""),NA(),IF(A57=$F$5,$C$5,NA()))</f>
        <v/>
      </c>
    </row>
    <row r="58">
      <c r="A58" s="5">
        <f>IF(47=0,0,47*$C$8)</f>
        <v/>
      </c>
      <c r="B58" s="9">
        <f>IF(A58&gt;$C$7,NA(),A58*$C$6)</f>
        <v/>
      </c>
      <c r="C58" s="9">
        <f>IF(A58&gt;$C$7,NA(),$C$5)</f>
        <v/>
      </c>
      <c r="D58" s="9">
        <f>IF(A58&gt;$C$7,NA(),B58-C58)</f>
        <v/>
      </c>
      <c r="E58" s="9">
        <f>IF(OR(A58&gt;$C$7,$F$5=""),NA(),IF(A58=$F$5,$C$5,NA()))</f>
        <v/>
      </c>
    </row>
    <row r="59">
      <c r="A59" s="5">
        <f>IF(48=0,0,48*$C$8)</f>
        <v/>
      </c>
      <c r="B59" s="9">
        <f>IF(A59&gt;$C$7,NA(),A59*$C$6)</f>
        <v/>
      </c>
      <c r="C59" s="9">
        <f>IF(A59&gt;$C$7,NA(),$C$5)</f>
        <v/>
      </c>
      <c r="D59" s="9">
        <f>IF(A59&gt;$C$7,NA(),B59-C59)</f>
        <v/>
      </c>
      <c r="E59" s="9">
        <f>IF(OR(A59&gt;$C$7,$F$5=""),NA(),IF(A59=$F$5,$C$5,NA()))</f>
        <v/>
      </c>
    </row>
    <row r="60">
      <c r="A60" s="5">
        <f>IF(49=0,0,49*$C$8)</f>
        <v/>
      </c>
      <c r="B60" s="9">
        <f>IF(A60&gt;$C$7,NA(),A60*$C$6)</f>
        <v/>
      </c>
      <c r="C60" s="9">
        <f>IF(A60&gt;$C$7,NA(),$C$5)</f>
        <v/>
      </c>
      <c r="D60" s="9">
        <f>IF(A60&gt;$C$7,NA(),B60-C60)</f>
        <v/>
      </c>
      <c r="E60" s="9">
        <f>IF(OR(A60&gt;$C$7,$F$5=""),NA(),IF(A60=$F$5,$C$5,NA()))</f>
        <v/>
      </c>
    </row>
    <row r="61">
      <c r="A61" s="5">
        <f>IF(50=0,0,50*$C$8)</f>
        <v/>
      </c>
      <c r="B61" s="9">
        <f>IF(A61&gt;$C$7,NA(),A61*$C$6)</f>
        <v/>
      </c>
      <c r="C61" s="9">
        <f>IF(A61&gt;$C$7,NA(),$C$5)</f>
        <v/>
      </c>
      <c r="D61" s="9">
        <f>IF(A61&gt;$C$7,NA(),B61-C61)</f>
        <v/>
      </c>
      <c r="E61" s="9">
        <f>IF(OR(A61&gt;$C$7,$F$5=""),NA(),IF(A61=$F$5,$C$5,NA()))</f>
        <v/>
      </c>
    </row>
    <row r="62">
      <c r="A62" s="5">
        <f>IF(51=0,0,51*$C$8)</f>
        <v/>
      </c>
      <c r="B62" s="9">
        <f>IF(A62&gt;$C$7,NA(),A62*$C$6)</f>
        <v/>
      </c>
      <c r="C62" s="9">
        <f>IF(A62&gt;$C$7,NA(),$C$5)</f>
        <v/>
      </c>
      <c r="D62" s="9">
        <f>IF(A62&gt;$C$7,NA(),B62-C62)</f>
        <v/>
      </c>
      <c r="E62" s="9">
        <f>IF(OR(A62&gt;$C$7,$F$5=""),NA(),IF(A62=$F$5,$C$5,NA()))</f>
        <v/>
      </c>
    </row>
    <row r="63">
      <c r="A63" s="5">
        <f>IF(52=0,0,52*$C$8)</f>
        <v/>
      </c>
      <c r="B63" s="9">
        <f>IF(A63&gt;$C$7,NA(),A63*$C$6)</f>
        <v/>
      </c>
      <c r="C63" s="9">
        <f>IF(A63&gt;$C$7,NA(),$C$5)</f>
        <v/>
      </c>
      <c r="D63" s="9">
        <f>IF(A63&gt;$C$7,NA(),B63-C63)</f>
        <v/>
      </c>
      <c r="E63" s="9">
        <f>IF(OR(A63&gt;$C$7,$F$5=""),NA(),IF(A63=$F$5,$C$5,NA()))</f>
        <v/>
      </c>
    </row>
    <row r="64">
      <c r="A64" s="5">
        <f>IF(53=0,0,53*$C$8)</f>
        <v/>
      </c>
      <c r="B64" s="9">
        <f>IF(A64&gt;$C$7,NA(),A64*$C$6)</f>
        <v/>
      </c>
      <c r="C64" s="9">
        <f>IF(A64&gt;$C$7,NA(),$C$5)</f>
        <v/>
      </c>
      <c r="D64" s="9">
        <f>IF(A64&gt;$C$7,NA(),B64-C64)</f>
        <v/>
      </c>
      <c r="E64" s="9">
        <f>IF(OR(A64&gt;$C$7,$F$5=""),NA(),IF(A64=$F$5,$C$5,NA()))</f>
        <v/>
      </c>
    </row>
    <row r="65">
      <c r="A65" s="5">
        <f>IF(54=0,0,54*$C$8)</f>
        <v/>
      </c>
      <c r="B65" s="9">
        <f>IF(A65&gt;$C$7,NA(),A65*$C$6)</f>
        <v/>
      </c>
      <c r="C65" s="9">
        <f>IF(A65&gt;$C$7,NA(),$C$5)</f>
        <v/>
      </c>
      <c r="D65" s="9">
        <f>IF(A65&gt;$C$7,NA(),B65-C65)</f>
        <v/>
      </c>
      <c r="E65" s="9">
        <f>IF(OR(A65&gt;$C$7,$F$5=""),NA(),IF(A65=$F$5,$C$5,NA()))</f>
        <v/>
      </c>
    </row>
    <row r="66">
      <c r="A66" s="5">
        <f>IF(55=0,0,55*$C$8)</f>
        <v/>
      </c>
      <c r="B66" s="9">
        <f>IF(A66&gt;$C$7,NA(),A66*$C$6)</f>
        <v/>
      </c>
      <c r="C66" s="9">
        <f>IF(A66&gt;$C$7,NA(),$C$5)</f>
        <v/>
      </c>
      <c r="D66" s="9">
        <f>IF(A66&gt;$C$7,NA(),B66-C66)</f>
        <v/>
      </c>
      <c r="E66" s="9">
        <f>IF(OR(A66&gt;$C$7,$F$5=""),NA(),IF(A66=$F$5,$C$5,NA()))</f>
        <v/>
      </c>
    </row>
    <row r="67">
      <c r="A67" s="5">
        <f>IF(56=0,0,56*$C$8)</f>
        <v/>
      </c>
      <c r="B67" s="9">
        <f>IF(A67&gt;$C$7,NA(),A67*$C$6)</f>
        <v/>
      </c>
      <c r="C67" s="9">
        <f>IF(A67&gt;$C$7,NA(),$C$5)</f>
        <v/>
      </c>
      <c r="D67" s="9">
        <f>IF(A67&gt;$C$7,NA(),B67-C67)</f>
        <v/>
      </c>
      <c r="E67" s="9">
        <f>IF(OR(A67&gt;$C$7,$F$5=""),NA(),IF(A67=$F$5,$C$5,NA()))</f>
        <v/>
      </c>
    </row>
    <row r="68">
      <c r="A68" s="5">
        <f>IF(57=0,0,57*$C$8)</f>
        <v/>
      </c>
      <c r="B68" s="9">
        <f>IF(A68&gt;$C$7,NA(),A68*$C$6)</f>
        <v/>
      </c>
      <c r="C68" s="9">
        <f>IF(A68&gt;$C$7,NA(),$C$5)</f>
        <v/>
      </c>
      <c r="D68" s="9">
        <f>IF(A68&gt;$C$7,NA(),B68-C68)</f>
        <v/>
      </c>
      <c r="E68" s="9">
        <f>IF(OR(A68&gt;$C$7,$F$5=""),NA(),IF(A68=$F$5,$C$5,NA()))</f>
        <v/>
      </c>
    </row>
    <row r="69">
      <c r="A69" s="5">
        <f>IF(58=0,0,58*$C$8)</f>
        <v/>
      </c>
      <c r="B69" s="9">
        <f>IF(A69&gt;$C$7,NA(),A69*$C$6)</f>
        <v/>
      </c>
      <c r="C69" s="9">
        <f>IF(A69&gt;$C$7,NA(),$C$5)</f>
        <v/>
      </c>
      <c r="D69" s="9">
        <f>IF(A69&gt;$C$7,NA(),B69-C69)</f>
        <v/>
      </c>
      <c r="E69" s="9">
        <f>IF(OR(A69&gt;$C$7,$F$5=""),NA(),IF(A69=$F$5,$C$5,NA()))</f>
        <v/>
      </c>
    </row>
    <row r="70">
      <c r="A70" s="5">
        <f>IF(59=0,0,59*$C$8)</f>
        <v/>
      </c>
      <c r="B70" s="9">
        <f>IF(A70&gt;$C$7,NA(),A70*$C$6)</f>
        <v/>
      </c>
      <c r="C70" s="9">
        <f>IF(A70&gt;$C$7,NA(),$C$5)</f>
        <v/>
      </c>
      <c r="D70" s="9">
        <f>IF(A70&gt;$C$7,NA(),B70-C70)</f>
        <v/>
      </c>
      <c r="E70" s="9">
        <f>IF(OR(A70&gt;$C$7,$F$5=""),NA(),IF(A70=$F$5,$C$5,NA()))</f>
        <v/>
      </c>
    </row>
    <row r="71">
      <c r="A71" s="5">
        <f>IF(60=0,0,60*$C$8)</f>
        <v/>
      </c>
      <c r="B71" s="9">
        <f>IF(A71&gt;$C$7,NA(),A71*$C$6)</f>
        <v/>
      </c>
      <c r="C71" s="9">
        <f>IF(A71&gt;$C$7,NA(),$C$5)</f>
        <v/>
      </c>
      <c r="D71" s="9">
        <f>IF(A71&gt;$C$7,NA(),B71-C71)</f>
        <v/>
      </c>
      <c r="E71" s="9">
        <f>IF(OR(A71&gt;$C$7,$F$5=""),NA(),IF(A71=$F$5,$C$5,NA()))</f>
        <v/>
      </c>
    </row>
    <row r="72">
      <c r="A72" s="5">
        <f>IF(61=0,0,61*$C$8)</f>
        <v/>
      </c>
      <c r="B72" s="9">
        <f>IF(A72&gt;$C$7,NA(),A72*$C$6)</f>
        <v/>
      </c>
      <c r="C72" s="9">
        <f>IF(A72&gt;$C$7,NA(),$C$5)</f>
        <v/>
      </c>
      <c r="D72" s="9">
        <f>IF(A72&gt;$C$7,NA(),B72-C72)</f>
        <v/>
      </c>
      <c r="E72" s="9">
        <f>IF(OR(A72&gt;$C$7,$F$5=""),NA(),IF(A72=$F$5,$C$5,NA()))</f>
        <v/>
      </c>
    </row>
    <row r="73">
      <c r="A73" s="5">
        <f>IF(62=0,0,62*$C$8)</f>
        <v/>
      </c>
      <c r="B73" s="9">
        <f>IF(A73&gt;$C$7,NA(),A73*$C$6)</f>
        <v/>
      </c>
      <c r="C73" s="9">
        <f>IF(A73&gt;$C$7,NA(),$C$5)</f>
        <v/>
      </c>
      <c r="D73" s="9">
        <f>IF(A73&gt;$C$7,NA(),B73-C73)</f>
        <v/>
      </c>
      <c r="E73" s="9">
        <f>IF(OR(A73&gt;$C$7,$F$5=""),NA(),IF(A73=$F$5,$C$5,NA()))</f>
        <v/>
      </c>
    </row>
    <row r="74">
      <c r="A74" s="5">
        <f>IF(63=0,0,63*$C$8)</f>
        <v/>
      </c>
      <c r="B74" s="9">
        <f>IF(A74&gt;$C$7,NA(),A74*$C$6)</f>
        <v/>
      </c>
      <c r="C74" s="9">
        <f>IF(A74&gt;$C$7,NA(),$C$5)</f>
        <v/>
      </c>
      <c r="D74" s="9">
        <f>IF(A74&gt;$C$7,NA(),B74-C74)</f>
        <v/>
      </c>
      <c r="E74" s="9">
        <f>IF(OR(A74&gt;$C$7,$F$5=""),NA(),IF(A74=$F$5,$C$5,NA()))</f>
        <v/>
      </c>
    </row>
    <row r="75">
      <c r="A75" s="5">
        <f>IF(64=0,0,64*$C$8)</f>
        <v/>
      </c>
      <c r="B75" s="9">
        <f>IF(A75&gt;$C$7,NA(),A75*$C$6)</f>
        <v/>
      </c>
      <c r="C75" s="9">
        <f>IF(A75&gt;$C$7,NA(),$C$5)</f>
        <v/>
      </c>
      <c r="D75" s="9">
        <f>IF(A75&gt;$C$7,NA(),B75-C75)</f>
        <v/>
      </c>
      <c r="E75" s="9">
        <f>IF(OR(A75&gt;$C$7,$F$5=""),NA(),IF(A75=$F$5,$C$5,NA()))</f>
        <v/>
      </c>
    </row>
    <row r="76">
      <c r="A76" s="5">
        <f>IF(65=0,0,65*$C$8)</f>
        <v/>
      </c>
      <c r="B76" s="9">
        <f>IF(A76&gt;$C$7,NA(),A76*$C$6)</f>
        <v/>
      </c>
      <c r="C76" s="9">
        <f>IF(A76&gt;$C$7,NA(),$C$5)</f>
        <v/>
      </c>
      <c r="D76" s="9">
        <f>IF(A76&gt;$C$7,NA(),B76-C76)</f>
        <v/>
      </c>
      <c r="E76" s="9">
        <f>IF(OR(A76&gt;$C$7,$F$5=""),NA(),IF(A76=$F$5,$C$5,NA()))</f>
        <v/>
      </c>
    </row>
    <row r="77">
      <c r="A77" s="5">
        <f>IF(66=0,0,66*$C$8)</f>
        <v/>
      </c>
      <c r="B77" s="9">
        <f>IF(A77&gt;$C$7,NA(),A77*$C$6)</f>
        <v/>
      </c>
      <c r="C77" s="9">
        <f>IF(A77&gt;$C$7,NA(),$C$5)</f>
        <v/>
      </c>
      <c r="D77" s="9">
        <f>IF(A77&gt;$C$7,NA(),B77-C77)</f>
        <v/>
      </c>
      <c r="E77" s="9">
        <f>IF(OR(A77&gt;$C$7,$F$5=""),NA(),IF(A77=$F$5,$C$5,NA()))</f>
        <v/>
      </c>
    </row>
    <row r="78">
      <c r="A78" s="5">
        <f>IF(67=0,0,67*$C$8)</f>
        <v/>
      </c>
      <c r="B78" s="9">
        <f>IF(A78&gt;$C$7,NA(),A78*$C$6)</f>
        <v/>
      </c>
      <c r="C78" s="9">
        <f>IF(A78&gt;$C$7,NA(),$C$5)</f>
        <v/>
      </c>
      <c r="D78" s="9">
        <f>IF(A78&gt;$C$7,NA(),B78-C78)</f>
        <v/>
      </c>
      <c r="E78" s="9">
        <f>IF(OR(A78&gt;$C$7,$F$5=""),NA(),IF(A78=$F$5,$C$5,NA()))</f>
        <v/>
      </c>
    </row>
    <row r="79">
      <c r="A79" s="5">
        <f>IF(68=0,0,68*$C$8)</f>
        <v/>
      </c>
      <c r="B79" s="9">
        <f>IF(A79&gt;$C$7,NA(),A79*$C$6)</f>
        <v/>
      </c>
      <c r="C79" s="9">
        <f>IF(A79&gt;$C$7,NA(),$C$5)</f>
        <v/>
      </c>
      <c r="D79" s="9">
        <f>IF(A79&gt;$C$7,NA(),B79-C79)</f>
        <v/>
      </c>
      <c r="E79" s="9">
        <f>IF(OR(A79&gt;$C$7,$F$5=""),NA(),IF(A79=$F$5,$C$5,NA()))</f>
        <v/>
      </c>
    </row>
    <row r="80">
      <c r="A80" s="5">
        <f>IF(69=0,0,69*$C$8)</f>
        <v/>
      </c>
      <c r="B80" s="9">
        <f>IF(A80&gt;$C$7,NA(),A80*$C$6)</f>
        <v/>
      </c>
      <c r="C80" s="9">
        <f>IF(A80&gt;$C$7,NA(),$C$5)</f>
        <v/>
      </c>
      <c r="D80" s="9">
        <f>IF(A80&gt;$C$7,NA(),B80-C80)</f>
        <v/>
      </c>
      <c r="E80" s="9">
        <f>IF(OR(A80&gt;$C$7,$F$5=""),NA(),IF(A80=$F$5,$C$5,NA()))</f>
        <v/>
      </c>
    </row>
    <row r="81">
      <c r="A81" s="5">
        <f>IF(70=0,0,70*$C$8)</f>
        <v/>
      </c>
      <c r="B81" s="9">
        <f>IF(A81&gt;$C$7,NA(),A81*$C$6)</f>
        <v/>
      </c>
      <c r="C81" s="9">
        <f>IF(A81&gt;$C$7,NA(),$C$5)</f>
        <v/>
      </c>
      <c r="D81" s="9">
        <f>IF(A81&gt;$C$7,NA(),B81-C81)</f>
        <v/>
      </c>
      <c r="E81" s="9">
        <f>IF(OR(A81&gt;$C$7,$F$5=""),NA(),IF(A81=$F$5,$C$5,NA()))</f>
        <v/>
      </c>
    </row>
    <row r="82">
      <c r="A82" s="5">
        <f>IF(71=0,0,71*$C$8)</f>
        <v/>
      </c>
      <c r="B82" s="9">
        <f>IF(A82&gt;$C$7,NA(),A82*$C$6)</f>
        <v/>
      </c>
      <c r="C82" s="9">
        <f>IF(A82&gt;$C$7,NA(),$C$5)</f>
        <v/>
      </c>
      <c r="D82" s="9">
        <f>IF(A82&gt;$C$7,NA(),B82-C82)</f>
        <v/>
      </c>
      <c r="E82" s="9">
        <f>IF(OR(A82&gt;$C$7,$F$5=""),NA(),IF(A82=$F$5,$C$5,NA()))</f>
        <v/>
      </c>
    </row>
    <row r="83">
      <c r="A83" s="5">
        <f>IF(72=0,0,72*$C$8)</f>
        <v/>
      </c>
      <c r="B83" s="9">
        <f>IF(A83&gt;$C$7,NA(),A83*$C$6)</f>
        <v/>
      </c>
      <c r="C83" s="9">
        <f>IF(A83&gt;$C$7,NA(),$C$5)</f>
        <v/>
      </c>
      <c r="D83" s="9">
        <f>IF(A83&gt;$C$7,NA(),B83-C83)</f>
        <v/>
      </c>
      <c r="E83" s="9">
        <f>IF(OR(A83&gt;$C$7,$F$5=""),NA(),IF(A83=$F$5,$C$5,NA()))</f>
        <v/>
      </c>
    </row>
    <row r="84">
      <c r="A84" s="5">
        <f>IF(73=0,0,73*$C$8)</f>
        <v/>
      </c>
      <c r="B84" s="9">
        <f>IF(A84&gt;$C$7,NA(),A84*$C$6)</f>
        <v/>
      </c>
      <c r="C84" s="9">
        <f>IF(A84&gt;$C$7,NA(),$C$5)</f>
        <v/>
      </c>
      <c r="D84" s="9">
        <f>IF(A84&gt;$C$7,NA(),B84-C84)</f>
        <v/>
      </c>
      <c r="E84" s="9">
        <f>IF(OR(A84&gt;$C$7,$F$5=""),NA(),IF(A84=$F$5,$C$5,NA()))</f>
        <v/>
      </c>
    </row>
    <row r="85">
      <c r="A85" s="5">
        <f>IF(74=0,0,74*$C$8)</f>
        <v/>
      </c>
      <c r="B85" s="9">
        <f>IF(A85&gt;$C$7,NA(),A85*$C$6)</f>
        <v/>
      </c>
      <c r="C85" s="9">
        <f>IF(A85&gt;$C$7,NA(),$C$5)</f>
        <v/>
      </c>
      <c r="D85" s="9">
        <f>IF(A85&gt;$C$7,NA(),B85-C85)</f>
        <v/>
      </c>
      <c r="E85" s="9">
        <f>IF(OR(A85&gt;$C$7,$F$5=""),NA(),IF(A85=$F$5,$C$5,NA()))</f>
        <v/>
      </c>
    </row>
    <row r="86">
      <c r="A86" s="5">
        <f>IF(75=0,0,75*$C$8)</f>
        <v/>
      </c>
      <c r="B86" s="9">
        <f>IF(A86&gt;$C$7,NA(),A86*$C$6)</f>
        <v/>
      </c>
      <c r="C86" s="9">
        <f>IF(A86&gt;$C$7,NA(),$C$5)</f>
        <v/>
      </c>
      <c r="D86" s="9">
        <f>IF(A86&gt;$C$7,NA(),B86-C86)</f>
        <v/>
      </c>
      <c r="E86" s="9">
        <f>IF(OR(A86&gt;$C$7,$F$5=""),NA(),IF(A86=$F$5,$C$5,NA()))</f>
        <v/>
      </c>
    </row>
    <row r="87">
      <c r="A87" s="5">
        <f>IF(76=0,0,76*$C$8)</f>
        <v/>
      </c>
      <c r="B87" s="9">
        <f>IF(A87&gt;$C$7,NA(),A87*$C$6)</f>
        <v/>
      </c>
      <c r="C87" s="9">
        <f>IF(A87&gt;$C$7,NA(),$C$5)</f>
        <v/>
      </c>
      <c r="D87" s="9">
        <f>IF(A87&gt;$C$7,NA(),B87-C87)</f>
        <v/>
      </c>
      <c r="E87" s="9">
        <f>IF(OR(A87&gt;$C$7,$F$5=""),NA(),IF(A87=$F$5,$C$5,NA()))</f>
        <v/>
      </c>
    </row>
    <row r="88">
      <c r="A88" s="5">
        <f>IF(77=0,0,77*$C$8)</f>
        <v/>
      </c>
      <c r="B88" s="9">
        <f>IF(A88&gt;$C$7,NA(),A88*$C$6)</f>
        <v/>
      </c>
      <c r="C88" s="9">
        <f>IF(A88&gt;$C$7,NA(),$C$5)</f>
        <v/>
      </c>
      <c r="D88" s="9">
        <f>IF(A88&gt;$C$7,NA(),B88-C88)</f>
        <v/>
      </c>
      <c r="E88" s="9">
        <f>IF(OR(A88&gt;$C$7,$F$5=""),NA(),IF(A88=$F$5,$C$5,NA()))</f>
        <v/>
      </c>
    </row>
    <row r="89">
      <c r="A89" s="5">
        <f>IF(78=0,0,78*$C$8)</f>
        <v/>
      </c>
      <c r="B89" s="9">
        <f>IF(A89&gt;$C$7,NA(),A89*$C$6)</f>
        <v/>
      </c>
      <c r="C89" s="9">
        <f>IF(A89&gt;$C$7,NA(),$C$5)</f>
        <v/>
      </c>
      <c r="D89" s="9">
        <f>IF(A89&gt;$C$7,NA(),B89-C89)</f>
        <v/>
      </c>
      <c r="E89" s="9">
        <f>IF(OR(A89&gt;$C$7,$F$5=""),NA(),IF(A89=$F$5,$C$5,NA()))</f>
        <v/>
      </c>
    </row>
    <row r="90">
      <c r="A90" s="5">
        <f>IF(79=0,0,79*$C$8)</f>
        <v/>
      </c>
      <c r="B90" s="9">
        <f>IF(A90&gt;$C$7,NA(),A90*$C$6)</f>
        <v/>
      </c>
      <c r="C90" s="9">
        <f>IF(A90&gt;$C$7,NA(),$C$5)</f>
        <v/>
      </c>
      <c r="D90" s="9">
        <f>IF(A90&gt;$C$7,NA(),B90-C90)</f>
        <v/>
      </c>
      <c r="E90" s="9">
        <f>IF(OR(A90&gt;$C$7,$F$5=""),NA(),IF(A90=$F$5,$C$5,NA()))</f>
        <v/>
      </c>
    </row>
    <row r="91">
      <c r="A91" s="5">
        <f>IF(80=0,0,80*$C$8)</f>
        <v/>
      </c>
      <c r="B91" s="9">
        <f>IF(A91&gt;$C$7,NA(),A91*$C$6)</f>
        <v/>
      </c>
      <c r="C91" s="9">
        <f>IF(A91&gt;$C$7,NA(),$C$5)</f>
        <v/>
      </c>
      <c r="D91" s="9">
        <f>IF(A91&gt;$C$7,NA(),B91-C91)</f>
        <v/>
      </c>
      <c r="E91" s="9">
        <f>IF(OR(A91&gt;$C$7,$F$5=""),NA(),IF(A91=$F$5,$C$5,NA()))</f>
        <v/>
      </c>
    </row>
    <row r="92">
      <c r="A92" s="5">
        <f>IF(81=0,0,81*$C$8)</f>
        <v/>
      </c>
      <c r="B92" s="9">
        <f>IF(A92&gt;$C$7,NA(),A92*$C$6)</f>
        <v/>
      </c>
      <c r="C92" s="9">
        <f>IF(A92&gt;$C$7,NA(),$C$5)</f>
        <v/>
      </c>
      <c r="D92" s="9">
        <f>IF(A92&gt;$C$7,NA(),B92-C92)</f>
        <v/>
      </c>
      <c r="E92" s="9">
        <f>IF(OR(A92&gt;$C$7,$F$5=""),NA(),IF(A92=$F$5,$C$5,NA()))</f>
        <v/>
      </c>
    </row>
    <row r="93">
      <c r="A93" s="5">
        <f>IF(82=0,0,82*$C$8)</f>
        <v/>
      </c>
      <c r="B93" s="9">
        <f>IF(A93&gt;$C$7,NA(),A93*$C$6)</f>
        <v/>
      </c>
      <c r="C93" s="9">
        <f>IF(A93&gt;$C$7,NA(),$C$5)</f>
        <v/>
      </c>
      <c r="D93" s="9">
        <f>IF(A93&gt;$C$7,NA(),B93-C93)</f>
        <v/>
      </c>
      <c r="E93" s="9">
        <f>IF(OR(A93&gt;$C$7,$F$5=""),NA(),IF(A93=$F$5,$C$5,NA()))</f>
        <v/>
      </c>
    </row>
    <row r="94">
      <c r="A94" s="5">
        <f>IF(83=0,0,83*$C$8)</f>
        <v/>
      </c>
      <c r="B94" s="9">
        <f>IF(A94&gt;$C$7,NA(),A94*$C$6)</f>
        <v/>
      </c>
      <c r="C94" s="9">
        <f>IF(A94&gt;$C$7,NA(),$C$5)</f>
        <v/>
      </c>
      <c r="D94" s="9">
        <f>IF(A94&gt;$C$7,NA(),B94-C94)</f>
        <v/>
      </c>
      <c r="E94" s="9">
        <f>IF(OR(A94&gt;$C$7,$F$5=""),NA(),IF(A94=$F$5,$C$5,NA()))</f>
        <v/>
      </c>
    </row>
    <row r="95">
      <c r="A95" s="5">
        <f>IF(84=0,0,84*$C$8)</f>
        <v/>
      </c>
      <c r="B95" s="9">
        <f>IF(A95&gt;$C$7,NA(),A95*$C$6)</f>
        <v/>
      </c>
      <c r="C95" s="9">
        <f>IF(A95&gt;$C$7,NA(),$C$5)</f>
        <v/>
      </c>
      <c r="D95" s="9">
        <f>IF(A95&gt;$C$7,NA(),B95-C95)</f>
        <v/>
      </c>
      <c r="E95" s="9">
        <f>IF(OR(A95&gt;$C$7,$F$5=""),NA(),IF(A95=$F$5,$C$5,NA()))</f>
        <v/>
      </c>
    </row>
    <row r="96">
      <c r="A96" s="5">
        <f>IF(85=0,0,85*$C$8)</f>
        <v/>
      </c>
      <c r="B96" s="9">
        <f>IF(A96&gt;$C$7,NA(),A96*$C$6)</f>
        <v/>
      </c>
      <c r="C96" s="9">
        <f>IF(A96&gt;$C$7,NA(),$C$5)</f>
        <v/>
      </c>
      <c r="D96" s="9">
        <f>IF(A96&gt;$C$7,NA(),B96-C96)</f>
        <v/>
      </c>
      <c r="E96" s="9">
        <f>IF(OR(A96&gt;$C$7,$F$5=""),NA(),IF(A96=$F$5,$C$5,NA()))</f>
        <v/>
      </c>
    </row>
    <row r="97">
      <c r="A97" s="5">
        <f>IF(86=0,0,86*$C$8)</f>
        <v/>
      </c>
      <c r="B97" s="9">
        <f>IF(A97&gt;$C$7,NA(),A97*$C$6)</f>
        <v/>
      </c>
      <c r="C97" s="9">
        <f>IF(A97&gt;$C$7,NA(),$C$5)</f>
        <v/>
      </c>
      <c r="D97" s="9">
        <f>IF(A97&gt;$C$7,NA(),B97-C97)</f>
        <v/>
      </c>
      <c r="E97" s="9">
        <f>IF(OR(A97&gt;$C$7,$F$5=""),NA(),IF(A97=$F$5,$C$5,NA()))</f>
        <v/>
      </c>
    </row>
    <row r="98">
      <c r="A98" s="5">
        <f>IF(87=0,0,87*$C$8)</f>
        <v/>
      </c>
      <c r="B98" s="9">
        <f>IF(A98&gt;$C$7,NA(),A98*$C$6)</f>
        <v/>
      </c>
      <c r="C98" s="9">
        <f>IF(A98&gt;$C$7,NA(),$C$5)</f>
        <v/>
      </c>
      <c r="D98" s="9">
        <f>IF(A98&gt;$C$7,NA(),B98-C98)</f>
        <v/>
      </c>
      <c r="E98" s="9">
        <f>IF(OR(A98&gt;$C$7,$F$5=""),NA(),IF(A98=$F$5,$C$5,NA()))</f>
        <v/>
      </c>
    </row>
    <row r="99">
      <c r="A99" s="5">
        <f>IF(88=0,0,88*$C$8)</f>
        <v/>
      </c>
      <c r="B99" s="9">
        <f>IF(A99&gt;$C$7,NA(),A99*$C$6)</f>
        <v/>
      </c>
      <c r="C99" s="9">
        <f>IF(A99&gt;$C$7,NA(),$C$5)</f>
        <v/>
      </c>
      <c r="D99" s="9">
        <f>IF(A99&gt;$C$7,NA(),B99-C99)</f>
        <v/>
      </c>
      <c r="E99" s="9">
        <f>IF(OR(A99&gt;$C$7,$F$5=""),NA(),IF(A99=$F$5,$C$5,NA()))</f>
        <v/>
      </c>
    </row>
    <row r="100">
      <c r="A100" s="5">
        <f>IF(89=0,0,89*$C$8)</f>
        <v/>
      </c>
      <c r="B100" s="9">
        <f>IF(A100&gt;$C$7,NA(),A100*$C$6)</f>
        <v/>
      </c>
      <c r="C100" s="9">
        <f>IF(A100&gt;$C$7,NA(),$C$5)</f>
        <v/>
      </c>
      <c r="D100" s="9">
        <f>IF(A100&gt;$C$7,NA(),B100-C100)</f>
        <v/>
      </c>
      <c r="E100" s="9">
        <f>IF(OR(A100&gt;$C$7,$F$5=""),NA(),IF(A100=$F$5,$C$5,NA()))</f>
        <v/>
      </c>
    </row>
    <row r="101">
      <c r="A101" s="5">
        <f>IF(90=0,0,90*$C$8)</f>
        <v/>
      </c>
      <c r="B101" s="9">
        <f>IF(A101&gt;$C$7,NA(),A101*$C$6)</f>
        <v/>
      </c>
      <c r="C101" s="9">
        <f>IF(A101&gt;$C$7,NA(),$C$5)</f>
        <v/>
      </c>
      <c r="D101" s="9">
        <f>IF(A101&gt;$C$7,NA(),B101-C101)</f>
        <v/>
      </c>
      <c r="E101" s="9">
        <f>IF(OR(A101&gt;$C$7,$F$5=""),NA(),IF(A101=$F$5,$C$5,NA()))</f>
        <v/>
      </c>
    </row>
    <row r="102">
      <c r="A102" s="5">
        <f>IF(91=0,0,91*$C$8)</f>
        <v/>
      </c>
      <c r="B102" s="9">
        <f>IF(A102&gt;$C$7,NA(),A102*$C$6)</f>
        <v/>
      </c>
      <c r="C102" s="9">
        <f>IF(A102&gt;$C$7,NA(),$C$5)</f>
        <v/>
      </c>
      <c r="D102" s="9">
        <f>IF(A102&gt;$C$7,NA(),B102-C102)</f>
        <v/>
      </c>
      <c r="E102" s="9">
        <f>IF(OR(A102&gt;$C$7,$F$5=""),NA(),IF(A102=$F$5,$C$5,NA()))</f>
        <v/>
      </c>
    </row>
    <row r="103">
      <c r="A103" s="5">
        <f>IF(92=0,0,92*$C$8)</f>
        <v/>
      </c>
      <c r="B103" s="9">
        <f>IF(A103&gt;$C$7,NA(),A103*$C$6)</f>
        <v/>
      </c>
      <c r="C103" s="9">
        <f>IF(A103&gt;$C$7,NA(),$C$5)</f>
        <v/>
      </c>
      <c r="D103" s="9">
        <f>IF(A103&gt;$C$7,NA(),B103-C103)</f>
        <v/>
      </c>
      <c r="E103" s="9">
        <f>IF(OR(A103&gt;$C$7,$F$5=""),NA(),IF(A103=$F$5,$C$5,NA()))</f>
        <v/>
      </c>
    </row>
    <row r="104">
      <c r="A104" s="5">
        <f>IF(93=0,0,93*$C$8)</f>
        <v/>
      </c>
      <c r="B104" s="9">
        <f>IF(A104&gt;$C$7,NA(),A104*$C$6)</f>
        <v/>
      </c>
      <c r="C104" s="9">
        <f>IF(A104&gt;$C$7,NA(),$C$5)</f>
        <v/>
      </c>
      <c r="D104" s="9">
        <f>IF(A104&gt;$C$7,NA(),B104-C104)</f>
        <v/>
      </c>
      <c r="E104" s="9">
        <f>IF(OR(A104&gt;$C$7,$F$5=""),NA(),IF(A104=$F$5,$C$5,NA()))</f>
        <v/>
      </c>
    </row>
    <row r="105">
      <c r="A105" s="5">
        <f>IF(94=0,0,94*$C$8)</f>
        <v/>
      </c>
      <c r="B105" s="9">
        <f>IF(A105&gt;$C$7,NA(),A105*$C$6)</f>
        <v/>
      </c>
      <c r="C105" s="9">
        <f>IF(A105&gt;$C$7,NA(),$C$5)</f>
        <v/>
      </c>
      <c r="D105" s="9">
        <f>IF(A105&gt;$C$7,NA(),B105-C105)</f>
        <v/>
      </c>
      <c r="E105" s="9">
        <f>IF(OR(A105&gt;$C$7,$F$5=""),NA(),IF(A105=$F$5,$C$5,NA()))</f>
        <v/>
      </c>
    </row>
    <row r="106">
      <c r="A106" s="5">
        <f>IF(95=0,0,95*$C$8)</f>
        <v/>
      </c>
      <c r="B106" s="9">
        <f>IF(A106&gt;$C$7,NA(),A106*$C$6)</f>
        <v/>
      </c>
      <c r="C106" s="9">
        <f>IF(A106&gt;$C$7,NA(),$C$5)</f>
        <v/>
      </c>
      <c r="D106" s="9">
        <f>IF(A106&gt;$C$7,NA(),B106-C106)</f>
        <v/>
      </c>
      <c r="E106" s="9">
        <f>IF(OR(A106&gt;$C$7,$F$5=""),NA(),IF(A106=$F$5,$C$5,NA()))</f>
        <v/>
      </c>
    </row>
    <row r="107">
      <c r="A107" s="5">
        <f>IF(96=0,0,96*$C$8)</f>
        <v/>
      </c>
      <c r="B107" s="9">
        <f>IF(A107&gt;$C$7,NA(),A107*$C$6)</f>
        <v/>
      </c>
      <c r="C107" s="9">
        <f>IF(A107&gt;$C$7,NA(),$C$5)</f>
        <v/>
      </c>
      <c r="D107" s="9">
        <f>IF(A107&gt;$C$7,NA(),B107-C107)</f>
        <v/>
      </c>
      <c r="E107" s="9">
        <f>IF(OR(A107&gt;$C$7,$F$5=""),NA(),IF(A107=$F$5,$C$5,NA()))</f>
        <v/>
      </c>
    </row>
    <row r="108">
      <c r="A108" s="5">
        <f>IF(97=0,0,97*$C$8)</f>
        <v/>
      </c>
      <c r="B108" s="9">
        <f>IF(A108&gt;$C$7,NA(),A108*$C$6)</f>
        <v/>
      </c>
      <c r="C108" s="9">
        <f>IF(A108&gt;$C$7,NA(),$C$5)</f>
        <v/>
      </c>
      <c r="D108" s="9">
        <f>IF(A108&gt;$C$7,NA(),B108-C108)</f>
        <v/>
      </c>
      <c r="E108" s="9">
        <f>IF(OR(A108&gt;$C$7,$F$5=""),NA(),IF(A108=$F$5,$C$5,NA()))</f>
        <v/>
      </c>
    </row>
    <row r="109">
      <c r="A109" s="5">
        <f>IF(98=0,0,98*$C$8)</f>
        <v/>
      </c>
      <c r="B109" s="9">
        <f>IF(A109&gt;$C$7,NA(),A109*$C$6)</f>
        <v/>
      </c>
      <c r="C109" s="9">
        <f>IF(A109&gt;$C$7,NA(),$C$5)</f>
        <v/>
      </c>
      <c r="D109" s="9">
        <f>IF(A109&gt;$C$7,NA(),B109-C109)</f>
        <v/>
      </c>
      <c r="E109" s="9">
        <f>IF(OR(A109&gt;$C$7,$F$5=""),NA(),IF(A109=$F$5,$C$5,NA()))</f>
        <v/>
      </c>
    </row>
    <row r="110">
      <c r="A110" s="5">
        <f>IF(99=0,0,99*$C$8)</f>
        <v/>
      </c>
      <c r="B110" s="9">
        <f>IF(A110&gt;$C$7,NA(),A110*$C$6)</f>
        <v/>
      </c>
      <c r="C110" s="9">
        <f>IF(A110&gt;$C$7,NA(),$C$5)</f>
        <v/>
      </c>
      <c r="D110" s="9">
        <f>IF(A110&gt;$C$7,NA(),B110-C110)</f>
        <v/>
      </c>
      <c r="E110" s="9">
        <f>IF(OR(A110&gt;$C$7,$F$5=""),NA(),IF(A110=$F$5,$C$5,NA()))</f>
        <v/>
      </c>
    </row>
    <row r="111">
      <c r="A111" s="5">
        <f>IF(100=0,0,100*$C$8)</f>
        <v/>
      </c>
      <c r="B111" s="9">
        <f>IF(A111&gt;$C$7,NA(),A111*$C$6)</f>
        <v/>
      </c>
      <c r="C111" s="9">
        <f>IF(A111&gt;$C$7,NA(),$C$5)</f>
        <v/>
      </c>
      <c r="D111" s="9">
        <f>IF(A111&gt;$C$7,NA(),B111-C111)</f>
        <v/>
      </c>
      <c r="E111" s="9">
        <f>IF(OR(A111&gt;$C$7,$F$5=""),NA(),IF(A111=$F$5,$C$5,NA()))</f>
        <v/>
      </c>
    </row>
    <row r="112">
      <c r="A112" s="5">
        <f>IF(101=0,0,101*$C$8)</f>
        <v/>
      </c>
      <c r="B112" s="9">
        <f>IF(A112&gt;$C$7,NA(),A112*$C$6)</f>
        <v/>
      </c>
      <c r="C112" s="9">
        <f>IF(A112&gt;$C$7,NA(),$C$5)</f>
        <v/>
      </c>
      <c r="D112" s="9">
        <f>IF(A112&gt;$C$7,NA(),B112-C112)</f>
        <v/>
      </c>
      <c r="E112" s="9">
        <f>IF(OR(A112&gt;$C$7,$F$5=""),NA(),IF(A112=$F$5,$C$5,NA()))</f>
        <v/>
      </c>
    </row>
    <row r="113">
      <c r="A113" s="5">
        <f>IF(102=0,0,102*$C$8)</f>
        <v/>
      </c>
      <c r="B113" s="9">
        <f>IF(A113&gt;$C$7,NA(),A113*$C$6)</f>
        <v/>
      </c>
      <c r="C113" s="9">
        <f>IF(A113&gt;$C$7,NA(),$C$5)</f>
        <v/>
      </c>
      <c r="D113" s="9">
        <f>IF(A113&gt;$C$7,NA(),B113-C113)</f>
        <v/>
      </c>
      <c r="E113" s="9">
        <f>IF(OR(A113&gt;$C$7,$F$5=""),NA(),IF(A113=$F$5,$C$5,NA()))</f>
        <v/>
      </c>
    </row>
    <row r="114">
      <c r="A114" s="5">
        <f>IF(103=0,0,103*$C$8)</f>
        <v/>
      </c>
      <c r="B114" s="9">
        <f>IF(A114&gt;$C$7,NA(),A114*$C$6)</f>
        <v/>
      </c>
      <c r="C114" s="9">
        <f>IF(A114&gt;$C$7,NA(),$C$5)</f>
        <v/>
      </c>
      <c r="D114" s="9">
        <f>IF(A114&gt;$C$7,NA(),B114-C114)</f>
        <v/>
      </c>
      <c r="E114" s="9">
        <f>IF(OR(A114&gt;$C$7,$F$5=""),NA(),IF(A114=$F$5,$C$5,NA()))</f>
        <v/>
      </c>
    </row>
    <row r="115">
      <c r="A115" s="5">
        <f>IF(104=0,0,104*$C$8)</f>
        <v/>
      </c>
      <c r="B115" s="9">
        <f>IF(A115&gt;$C$7,NA(),A115*$C$6)</f>
        <v/>
      </c>
      <c r="C115" s="9">
        <f>IF(A115&gt;$C$7,NA(),$C$5)</f>
        <v/>
      </c>
      <c r="D115" s="9">
        <f>IF(A115&gt;$C$7,NA(),B115-C115)</f>
        <v/>
      </c>
      <c r="E115" s="9">
        <f>IF(OR(A115&gt;$C$7,$F$5=""),NA(),IF(A115=$F$5,$C$5,NA()))</f>
        <v/>
      </c>
    </row>
    <row r="116">
      <c r="A116" s="5">
        <f>IF(105=0,0,105*$C$8)</f>
        <v/>
      </c>
      <c r="B116" s="9">
        <f>IF(A116&gt;$C$7,NA(),A116*$C$6)</f>
        <v/>
      </c>
      <c r="C116" s="9">
        <f>IF(A116&gt;$C$7,NA(),$C$5)</f>
        <v/>
      </c>
      <c r="D116" s="9">
        <f>IF(A116&gt;$C$7,NA(),B116-C116)</f>
        <v/>
      </c>
      <c r="E116" s="9">
        <f>IF(OR(A116&gt;$C$7,$F$5=""),NA(),IF(A116=$F$5,$C$5,NA()))</f>
        <v/>
      </c>
    </row>
    <row r="117">
      <c r="A117" s="5">
        <f>IF(106=0,0,106*$C$8)</f>
        <v/>
      </c>
      <c r="B117" s="9">
        <f>IF(A117&gt;$C$7,NA(),A117*$C$6)</f>
        <v/>
      </c>
      <c r="C117" s="9">
        <f>IF(A117&gt;$C$7,NA(),$C$5)</f>
        <v/>
      </c>
      <c r="D117" s="9">
        <f>IF(A117&gt;$C$7,NA(),B117-C117)</f>
        <v/>
      </c>
      <c r="E117" s="9">
        <f>IF(OR(A117&gt;$C$7,$F$5=""),NA(),IF(A117=$F$5,$C$5,NA()))</f>
        <v/>
      </c>
    </row>
    <row r="118">
      <c r="A118" s="5">
        <f>IF(107=0,0,107*$C$8)</f>
        <v/>
      </c>
      <c r="B118" s="9">
        <f>IF(A118&gt;$C$7,NA(),A118*$C$6)</f>
        <v/>
      </c>
      <c r="C118" s="9">
        <f>IF(A118&gt;$C$7,NA(),$C$5)</f>
        <v/>
      </c>
      <c r="D118" s="9">
        <f>IF(A118&gt;$C$7,NA(),B118-C118)</f>
        <v/>
      </c>
      <c r="E118" s="9">
        <f>IF(OR(A118&gt;$C$7,$F$5=""),NA(),IF(A118=$F$5,$C$5,NA()))</f>
        <v/>
      </c>
    </row>
    <row r="119">
      <c r="A119" s="5">
        <f>IF(108=0,0,108*$C$8)</f>
        <v/>
      </c>
      <c r="B119" s="9">
        <f>IF(A119&gt;$C$7,NA(),A119*$C$6)</f>
        <v/>
      </c>
      <c r="C119" s="9">
        <f>IF(A119&gt;$C$7,NA(),$C$5)</f>
        <v/>
      </c>
      <c r="D119" s="9">
        <f>IF(A119&gt;$C$7,NA(),B119-C119)</f>
        <v/>
      </c>
      <c r="E119" s="9">
        <f>IF(OR(A119&gt;$C$7,$F$5=""),NA(),IF(A119=$F$5,$C$5,NA()))</f>
        <v/>
      </c>
    </row>
    <row r="120">
      <c r="A120" s="5">
        <f>IF(109=0,0,109*$C$8)</f>
        <v/>
      </c>
      <c r="B120" s="9">
        <f>IF(A120&gt;$C$7,NA(),A120*$C$6)</f>
        <v/>
      </c>
      <c r="C120" s="9">
        <f>IF(A120&gt;$C$7,NA(),$C$5)</f>
        <v/>
      </c>
      <c r="D120" s="9">
        <f>IF(A120&gt;$C$7,NA(),B120-C120)</f>
        <v/>
      </c>
      <c r="E120" s="9">
        <f>IF(OR(A120&gt;$C$7,$F$5=""),NA(),IF(A120=$F$5,$C$5,NA()))</f>
        <v/>
      </c>
    </row>
    <row r="121">
      <c r="A121" s="5">
        <f>IF(110=0,0,110*$C$8)</f>
        <v/>
      </c>
      <c r="B121" s="9">
        <f>IF(A121&gt;$C$7,NA(),A121*$C$6)</f>
        <v/>
      </c>
      <c r="C121" s="9">
        <f>IF(A121&gt;$C$7,NA(),$C$5)</f>
        <v/>
      </c>
      <c r="D121" s="9">
        <f>IF(A121&gt;$C$7,NA(),B121-C121)</f>
        <v/>
      </c>
      <c r="E121" s="9">
        <f>IF(OR(A121&gt;$C$7,$F$5=""),NA(),IF(A121=$F$5,$C$5,NA()))</f>
        <v/>
      </c>
    </row>
    <row r="122">
      <c r="A122" s="5">
        <f>IF(111=0,0,111*$C$8)</f>
        <v/>
      </c>
      <c r="B122" s="9">
        <f>IF(A122&gt;$C$7,NA(),A122*$C$6)</f>
        <v/>
      </c>
      <c r="C122" s="9">
        <f>IF(A122&gt;$C$7,NA(),$C$5)</f>
        <v/>
      </c>
      <c r="D122" s="9">
        <f>IF(A122&gt;$C$7,NA(),B122-C122)</f>
        <v/>
      </c>
      <c r="E122" s="9">
        <f>IF(OR(A122&gt;$C$7,$F$5=""),NA(),IF(A122=$F$5,$C$5,NA()))</f>
        <v/>
      </c>
    </row>
    <row r="123">
      <c r="A123" s="5">
        <f>IF(112=0,0,112*$C$8)</f>
        <v/>
      </c>
      <c r="B123" s="9">
        <f>IF(A123&gt;$C$7,NA(),A123*$C$6)</f>
        <v/>
      </c>
      <c r="C123" s="9">
        <f>IF(A123&gt;$C$7,NA(),$C$5)</f>
        <v/>
      </c>
      <c r="D123" s="9">
        <f>IF(A123&gt;$C$7,NA(),B123-C123)</f>
        <v/>
      </c>
      <c r="E123" s="9">
        <f>IF(OR(A123&gt;$C$7,$F$5=""),NA(),IF(A123=$F$5,$C$5,NA()))</f>
        <v/>
      </c>
    </row>
    <row r="124">
      <c r="A124" s="5">
        <f>IF(113=0,0,113*$C$8)</f>
        <v/>
      </c>
      <c r="B124" s="9">
        <f>IF(A124&gt;$C$7,NA(),A124*$C$6)</f>
        <v/>
      </c>
      <c r="C124" s="9">
        <f>IF(A124&gt;$C$7,NA(),$C$5)</f>
        <v/>
      </c>
      <c r="D124" s="9">
        <f>IF(A124&gt;$C$7,NA(),B124-C124)</f>
        <v/>
      </c>
      <c r="E124" s="9">
        <f>IF(OR(A124&gt;$C$7,$F$5=""),NA(),IF(A124=$F$5,$C$5,NA()))</f>
        <v/>
      </c>
    </row>
    <row r="125">
      <c r="A125" s="5">
        <f>IF(114=0,0,114*$C$8)</f>
        <v/>
      </c>
      <c r="B125" s="9">
        <f>IF(A125&gt;$C$7,NA(),A125*$C$6)</f>
        <v/>
      </c>
      <c r="C125" s="9">
        <f>IF(A125&gt;$C$7,NA(),$C$5)</f>
        <v/>
      </c>
      <c r="D125" s="9">
        <f>IF(A125&gt;$C$7,NA(),B125-C125)</f>
        <v/>
      </c>
      <c r="E125" s="9">
        <f>IF(OR(A125&gt;$C$7,$F$5=""),NA(),IF(A125=$F$5,$C$5,NA()))</f>
        <v/>
      </c>
    </row>
    <row r="126">
      <c r="A126" s="5">
        <f>IF(115=0,0,115*$C$8)</f>
        <v/>
      </c>
      <c r="B126" s="9">
        <f>IF(A126&gt;$C$7,NA(),A126*$C$6)</f>
        <v/>
      </c>
      <c r="C126" s="9">
        <f>IF(A126&gt;$C$7,NA(),$C$5)</f>
        <v/>
      </c>
      <c r="D126" s="9">
        <f>IF(A126&gt;$C$7,NA(),B126-C126)</f>
        <v/>
      </c>
      <c r="E126" s="9">
        <f>IF(OR(A126&gt;$C$7,$F$5=""),NA(),IF(A126=$F$5,$C$5,NA()))</f>
        <v/>
      </c>
    </row>
    <row r="127">
      <c r="A127" s="5">
        <f>IF(116=0,0,116*$C$8)</f>
        <v/>
      </c>
      <c r="B127" s="9">
        <f>IF(A127&gt;$C$7,NA(),A127*$C$6)</f>
        <v/>
      </c>
      <c r="C127" s="9">
        <f>IF(A127&gt;$C$7,NA(),$C$5)</f>
        <v/>
      </c>
      <c r="D127" s="9">
        <f>IF(A127&gt;$C$7,NA(),B127-C127)</f>
        <v/>
      </c>
      <c r="E127" s="9">
        <f>IF(OR(A127&gt;$C$7,$F$5=""),NA(),IF(A127=$F$5,$C$5,NA()))</f>
        <v/>
      </c>
    </row>
    <row r="128">
      <c r="A128" s="5">
        <f>IF(117=0,0,117*$C$8)</f>
        <v/>
      </c>
      <c r="B128" s="9">
        <f>IF(A128&gt;$C$7,NA(),A128*$C$6)</f>
        <v/>
      </c>
      <c r="C128" s="9">
        <f>IF(A128&gt;$C$7,NA(),$C$5)</f>
        <v/>
      </c>
      <c r="D128" s="9">
        <f>IF(A128&gt;$C$7,NA(),B128-C128)</f>
        <v/>
      </c>
      <c r="E128" s="9">
        <f>IF(OR(A128&gt;$C$7,$F$5=""),NA(),IF(A128=$F$5,$C$5,NA()))</f>
        <v/>
      </c>
    </row>
    <row r="129">
      <c r="A129" s="5">
        <f>IF(118=0,0,118*$C$8)</f>
        <v/>
      </c>
      <c r="B129" s="9">
        <f>IF(A129&gt;$C$7,NA(),A129*$C$6)</f>
        <v/>
      </c>
      <c r="C129" s="9">
        <f>IF(A129&gt;$C$7,NA(),$C$5)</f>
        <v/>
      </c>
      <c r="D129" s="9">
        <f>IF(A129&gt;$C$7,NA(),B129-C129)</f>
        <v/>
      </c>
      <c r="E129" s="9">
        <f>IF(OR(A129&gt;$C$7,$F$5=""),NA(),IF(A129=$F$5,$C$5,NA()))</f>
        <v/>
      </c>
    </row>
    <row r="130">
      <c r="A130" s="5">
        <f>IF(119=0,0,119*$C$8)</f>
        <v/>
      </c>
      <c r="B130" s="9">
        <f>IF(A130&gt;$C$7,NA(),A130*$C$6)</f>
        <v/>
      </c>
      <c r="C130" s="9">
        <f>IF(A130&gt;$C$7,NA(),$C$5)</f>
        <v/>
      </c>
      <c r="D130" s="9">
        <f>IF(A130&gt;$C$7,NA(),B130-C130)</f>
        <v/>
      </c>
      <c r="E130" s="9">
        <f>IF(OR(A130&gt;$C$7,$F$5=""),NA(),IF(A130=$F$5,$C$5,NA()))</f>
        <v/>
      </c>
    </row>
    <row r="131">
      <c r="A131" s="5">
        <f>IF(120=0,0,120*$C$8)</f>
        <v/>
      </c>
      <c r="B131" s="9">
        <f>IF(A131&gt;$C$7,NA(),A131*$C$6)</f>
        <v/>
      </c>
      <c r="C131" s="9">
        <f>IF(A131&gt;$C$7,NA(),$C$5)</f>
        <v/>
      </c>
      <c r="D131" s="9">
        <f>IF(A131&gt;$C$7,NA(),B131-C131)</f>
        <v/>
      </c>
      <c r="E131" s="9">
        <f>IF(OR(A131&gt;$C$7,$F$5=""),NA(),IF(A131=$F$5,$C$5,NA()))</f>
        <v/>
      </c>
    </row>
    <row r="132">
      <c r="A132" s="5">
        <f>IF(121=0,0,121*$C$8)</f>
        <v/>
      </c>
      <c r="B132" s="9">
        <f>IF(A132&gt;$C$7,NA(),A132*$C$6)</f>
        <v/>
      </c>
      <c r="C132" s="9">
        <f>IF(A132&gt;$C$7,NA(),$C$5)</f>
        <v/>
      </c>
      <c r="D132" s="9">
        <f>IF(A132&gt;$C$7,NA(),B132-C132)</f>
        <v/>
      </c>
      <c r="E132" s="9">
        <f>IF(OR(A132&gt;$C$7,$F$5=""),NA(),IF(A132=$F$5,$C$5,NA()))</f>
        <v/>
      </c>
    </row>
    <row r="133">
      <c r="A133" s="5">
        <f>IF(122=0,0,122*$C$8)</f>
        <v/>
      </c>
      <c r="B133" s="9">
        <f>IF(A133&gt;$C$7,NA(),A133*$C$6)</f>
        <v/>
      </c>
      <c r="C133" s="9">
        <f>IF(A133&gt;$C$7,NA(),$C$5)</f>
        <v/>
      </c>
      <c r="D133" s="9">
        <f>IF(A133&gt;$C$7,NA(),B133-C133)</f>
        <v/>
      </c>
      <c r="E133" s="9">
        <f>IF(OR(A133&gt;$C$7,$F$5=""),NA(),IF(A133=$F$5,$C$5,NA()))</f>
        <v/>
      </c>
    </row>
    <row r="134">
      <c r="A134" s="5">
        <f>IF(123=0,0,123*$C$8)</f>
        <v/>
      </c>
      <c r="B134" s="9">
        <f>IF(A134&gt;$C$7,NA(),A134*$C$6)</f>
        <v/>
      </c>
      <c r="C134" s="9">
        <f>IF(A134&gt;$C$7,NA(),$C$5)</f>
        <v/>
      </c>
      <c r="D134" s="9">
        <f>IF(A134&gt;$C$7,NA(),B134-C134)</f>
        <v/>
      </c>
      <c r="E134" s="9">
        <f>IF(OR(A134&gt;$C$7,$F$5=""),NA(),IF(A134=$F$5,$C$5,NA()))</f>
        <v/>
      </c>
    </row>
    <row r="135">
      <c r="A135" s="5">
        <f>IF(124=0,0,124*$C$8)</f>
        <v/>
      </c>
      <c r="B135" s="9">
        <f>IF(A135&gt;$C$7,NA(),A135*$C$6)</f>
        <v/>
      </c>
      <c r="C135" s="9">
        <f>IF(A135&gt;$C$7,NA(),$C$5)</f>
        <v/>
      </c>
      <c r="D135" s="9">
        <f>IF(A135&gt;$C$7,NA(),B135-C135)</f>
        <v/>
      </c>
      <c r="E135" s="9">
        <f>IF(OR(A135&gt;$C$7,$F$5=""),NA(),IF(A135=$F$5,$C$5,NA()))</f>
        <v/>
      </c>
    </row>
    <row r="136">
      <c r="A136" s="5">
        <f>IF(125=0,0,125*$C$8)</f>
        <v/>
      </c>
      <c r="B136" s="9">
        <f>IF(A136&gt;$C$7,NA(),A136*$C$6)</f>
        <v/>
      </c>
      <c r="C136" s="9">
        <f>IF(A136&gt;$C$7,NA(),$C$5)</f>
        <v/>
      </c>
      <c r="D136" s="9">
        <f>IF(A136&gt;$C$7,NA(),B136-C136)</f>
        <v/>
      </c>
      <c r="E136" s="9">
        <f>IF(OR(A136&gt;$C$7,$F$5=""),NA(),IF(A136=$F$5,$C$5,NA()))</f>
        <v/>
      </c>
    </row>
    <row r="137">
      <c r="A137" s="5">
        <f>IF(126=0,0,126*$C$8)</f>
        <v/>
      </c>
      <c r="B137" s="9">
        <f>IF(A137&gt;$C$7,NA(),A137*$C$6)</f>
        <v/>
      </c>
      <c r="C137" s="9">
        <f>IF(A137&gt;$C$7,NA(),$C$5)</f>
        <v/>
      </c>
      <c r="D137" s="9">
        <f>IF(A137&gt;$C$7,NA(),B137-C137)</f>
        <v/>
      </c>
      <c r="E137" s="9">
        <f>IF(OR(A137&gt;$C$7,$F$5=""),NA(),IF(A137=$F$5,$C$5,NA()))</f>
        <v/>
      </c>
    </row>
    <row r="138">
      <c r="A138" s="5">
        <f>IF(127=0,0,127*$C$8)</f>
        <v/>
      </c>
      <c r="B138" s="9">
        <f>IF(A138&gt;$C$7,NA(),A138*$C$6)</f>
        <v/>
      </c>
      <c r="C138" s="9">
        <f>IF(A138&gt;$C$7,NA(),$C$5)</f>
        <v/>
      </c>
      <c r="D138" s="9">
        <f>IF(A138&gt;$C$7,NA(),B138-C138)</f>
        <v/>
      </c>
      <c r="E138" s="9">
        <f>IF(OR(A138&gt;$C$7,$F$5=""),NA(),IF(A138=$F$5,$C$5,NA()))</f>
        <v/>
      </c>
    </row>
    <row r="139">
      <c r="A139" s="5">
        <f>IF(128=0,0,128*$C$8)</f>
        <v/>
      </c>
      <c r="B139" s="9">
        <f>IF(A139&gt;$C$7,NA(),A139*$C$6)</f>
        <v/>
      </c>
      <c r="C139" s="9">
        <f>IF(A139&gt;$C$7,NA(),$C$5)</f>
        <v/>
      </c>
      <c r="D139" s="9">
        <f>IF(A139&gt;$C$7,NA(),B139-C139)</f>
        <v/>
      </c>
      <c r="E139" s="9">
        <f>IF(OR(A139&gt;$C$7,$F$5=""),NA(),IF(A139=$F$5,$C$5,NA()))</f>
        <v/>
      </c>
    </row>
    <row r="140">
      <c r="A140" s="5">
        <f>IF(129=0,0,129*$C$8)</f>
        <v/>
      </c>
      <c r="B140" s="9">
        <f>IF(A140&gt;$C$7,NA(),A140*$C$6)</f>
        <v/>
      </c>
      <c r="C140" s="9">
        <f>IF(A140&gt;$C$7,NA(),$C$5)</f>
        <v/>
      </c>
      <c r="D140" s="9">
        <f>IF(A140&gt;$C$7,NA(),B140-C140)</f>
        <v/>
      </c>
      <c r="E140" s="9">
        <f>IF(OR(A140&gt;$C$7,$F$5=""),NA(),IF(A140=$F$5,$C$5,NA()))</f>
        <v/>
      </c>
    </row>
    <row r="141">
      <c r="A141" s="5">
        <f>IF(130=0,0,130*$C$8)</f>
        <v/>
      </c>
      <c r="B141" s="9">
        <f>IF(A141&gt;$C$7,NA(),A141*$C$6)</f>
        <v/>
      </c>
      <c r="C141" s="9">
        <f>IF(A141&gt;$C$7,NA(),$C$5)</f>
        <v/>
      </c>
      <c r="D141" s="9">
        <f>IF(A141&gt;$C$7,NA(),B141-C141)</f>
        <v/>
      </c>
      <c r="E141" s="9">
        <f>IF(OR(A141&gt;$C$7,$F$5=""),NA(),IF(A141=$F$5,$C$5,NA()))</f>
        <v/>
      </c>
    </row>
    <row r="142">
      <c r="A142" s="5">
        <f>IF(131=0,0,131*$C$8)</f>
        <v/>
      </c>
      <c r="B142" s="9">
        <f>IF(A142&gt;$C$7,NA(),A142*$C$6)</f>
        <v/>
      </c>
      <c r="C142" s="9">
        <f>IF(A142&gt;$C$7,NA(),$C$5)</f>
        <v/>
      </c>
      <c r="D142" s="9">
        <f>IF(A142&gt;$C$7,NA(),B142-C142)</f>
        <v/>
      </c>
      <c r="E142" s="9">
        <f>IF(OR(A142&gt;$C$7,$F$5=""),NA(),IF(A142=$F$5,$C$5,NA()))</f>
        <v/>
      </c>
    </row>
    <row r="143">
      <c r="A143" s="5">
        <f>IF(132=0,0,132*$C$8)</f>
        <v/>
      </c>
      <c r="B143" s="9">
        <f>IF(A143&gt;$C$7,NA(),A143*$C$6)</f>
        <v/>
      </c>
      <c r="C143" s="9">
        <f>IF(A143&gt;$C$7,NA(),$C$5)</f>
        <v/>
      </c>
      <c r="D143" s="9">
        <f>IF(A143&gt;$C$7,NA(),B143-C143)</f>
        <v/>
      </c>
      <c r="E143" s="9">
        <f>IF(OR(A143&gt;$C$7,$F$5=""),NA(),IF(A143=$F$5,$C$5,NA()))</f>
        <v/>
      </c>
    </row>
    <row r="144">
      <c r="A144" s="5">
        <f>IF(133=0,0,133*$C$8)</f>
        <v/>
      </c>
      <c r="B144" s="9">
        <f>IF(A144&gt;$C$7,NA(),A144*$C$6)</f>
        <v/>
      </c>
      <c r="C144" s="9">
        <f>IF(A144&gt;$C$7,NA(),$C$5)</f>
        <v/>
      </c>
      <c r="D144" s="9">
        <f>IF(A144&gt;$C$7,NA(),B144-C144)</f>
        <v/>
      </c>
      <c r="E144" s="9">
        <f>IF(OR(A144&gt;$C$7,$F$5=""),NA(),IF(A144=$F$5,$C$5,NA()))</f>
        <v/>
      </c>
    </row>
    <row r="145">
      <c r="A145" s="5">
        <f>IF(134=0,0,134*$C$8)</f>
        <v/>
      </c>
      <c r="B145" s="9">
        <f>IF(A145&gt;$C$7,NA(),A145*$C$6)</f>
        <v/>
      </c>
      <c r="C145" s="9">
        <f>IF(A145&gt;$C$7,NA(),$C$5)</f>
        <v/>
      </c>
      <c r="D145" s="9">
        <f>IF(A145&gt;$C$7,NA(),B145-C145)</f>
        <v/>
      </c>
      <c r="E145" s="9">
        <f>IF(OR(A145&gt;$C$7,$F$5=""),NA(),IF(A145=$F$5,$C$5,NA()))</f>
        <v/>
      </c>
    </row>
    <row r="146">
      <c r="A146" s="5">
        <f>IF(135=0,0,135*$C$8)</f>
        <v/>
      </c>
      <c r="B146" s="9">
        <f>IF(A146&gt;$C$7,NA(),A146*$C$6)</f>
        <v/>
      </c>
      <c r="C146" s="9">
        <f>IF(A146&gt;$C$7,NA(),$C$5)</f>
        <v/>
      </c>
      <c r="D146" s="9">
        <f>IF(A146&gt;$C$7,NA(),B146-C146)</f>
        <v/>
      </c>
      <c r="E146" s="9">
        <f>IF(OR(A146&gt;$C$7,$F$5=""),NA(),IF(A146=$F$5,$C$5,NA()))</f>
        <v/>
      </c>
    </row>
    <row r="147">
      <c r="A147" s="5">
        <f>IF(136=0,0,136*$C$8)</f>
        <v/>
      </c>
      <c r="B147" s="9">
        <f>IF(A147&gt;$C$7,NA(),A147*$C$6)</f>
        <v/>
      </c>
      <c r="C147" s="9">
        <f>IF(A147&gt;$C$7,NA(),$C$5)</f>
        <v/>
      </c>
      <c r="D147" s="9">
        <f>IF(A147&gt;$C$7,NA(),B147-C147)</f>
        <v/>
      </c>
      <c r="E147" s="9">
        <f>IF(OR(A147&gt;$C$7,$F$5=""),NA(),IF(A147=$F$5,$C$5,NA()))</f>
        <v/>
      </c>
    </row>
    <row r="148">
      <c r="A148" s="5">
        <f>IF(137=0,0,137*$C$8)</f>
        <v/>
      </c>
      <c r="B148" s="9">
        <f>IF(A148&gt;$C$7,NA(),A148*$C$6)</f>
        <v/>
      </c>
      <c r="C148" s="9">
        <f>IF(A148&gt;$C$7,NA(),$C$5)</f>
        <v/>
      </c>
      <c r="D148" s="9">
        <f>IF(A148&gt;$C$7,NA(),B148-C148)</f>
        <v/>
      </c>
      <c r="E148" s="9">
        <f>IF(OR(A148&gt;$C$7,$F$5=""),NA(),IF(A148=$F$5,$C$5,NA()))</f>
        <v/>
      </c>
    </row>
    <row r="149">
      <c r="A149" s="5">
        <f>IF(138=0,0,138*$C$8)</f>
        <v/>
      </c>
      <c r="B149" s="9">
        <f>IF(A149&gt;$C$7,NA(),A149*$C$6)</f>
        <v/>
      </c>
      <c r="C149" s="9">
        <f>IF(A149&gt;$C$7,NA(),$C$5)</f>
        <v/>
      </c>
      <c r="D149" s="9">
        <f>IF(A149&gt;$C$7,NA(),B149-C149)</f>
        <v/>
      </c>
      <c r="E149" s="9">
        <f>IF(OR(A149&gt;$C$7,$F$5=""),NA(),IF(A149=$F$5,$C$5,NA()))</f>
        <v/>
      </c>
    </row>
    <row r="150">
      <c r="A150" s="5">
        <f>IF(139=0,0,139*$C$8)</f>
        <v/>
      </c>
      <c r="B150" s="9">
        <f>IF(A150&gt;$C$7,NA(),A150*$C$6)</f>
        <v/>
      </c>
      <c r="C150" s="9">
        <f>IF(A150&gt;$C$7,NA(),$C$5)</f>
        <v/>
      </c>
      <c r="D150" s="9">
        <f>IF(A150&gt;$C$7,NA(),B150-C150)</f>
        <v/>
      </c>
      <c r="E150" s="9">
        <f>IF(OR(A150&gt;$C$7,$F$5=""),NA(),IF(A150=$F$5,$C$5,NA()))</f>
        <v/>
      </c>
    </row>
    <row r="151">
      <c r="A151" s="5">
        <f>IF(140=0,0,140*$C$8)</f>
        <v/>
      </c>
      <c r="B151" s="9">
        <f>IF(A151&gt;$C$7,NA(),A151*$C$6)</f>
        <v/>
      </c>
      <c r="C151" s="9">
        <f>IF(A151&gt;$C$7,NA(),$C$5)</f>
        <v/>
      </c>
      <c r="D151" s="9">
        <f>IF(A151&gt;$C$7,NA(),B151-C151)</f>
        <v/>
      </c>
      <c r="E151" s="9">
        <f>IF(OR(A151&gt;$C$7,$F$5=""),NA(),IF(A151=$F$5,$C$5,NA()))</f>
        <v/>
      </c>
    </row>
    <row r="152">
      <c r="A152" s="5">
        <f>IF(141=0,0,141*$C$8)</f>
        <v/>
      </c>
      <c r="B152" s="9">
        <f>IF(A152&gt;$C$7,NA(),A152*$C$6)</f>
        <v/>
      </c>
      <c r="C152" s="9">
        <f>IF(A152&gt;$C$7,NA(),$C$5)</f>
        <v/>
      </c>
      <c r="D152" s="9">
        <f>IF(A152&gt;$C$7,NA(),B152-C152)</f>
        <v/>
      </c>
      <c r="E152" s="9">
        <f>IF(OR(A152&gt;$C$7,$F$5=""),NA(),IF(A152=$F$5,$C$5,NA()))</f>
        <v/>
      </c>
    </row>
    <row r="153">
      <c r="A153" s="5">
        <f>IF(142=0,0,142*$C$8)</f>
        <v/>
      </c>
      <c r="B153" s="9">
        <f>IF(A153&gt;$C$7,NA(),A153*$C$6)</f>
        <v/>
      </c>
      <c r="C153" s="9">
        <f>IF(A153&gt;$C$7,NA(),$C$5)</f>
        <v/>
      </c>
      <c r="D153" s="9">
        <f>IF(A153&gt;$C$7,NA(),B153-C153)</f>
        <v/>
      </c>
      <c r="E153" s="9">
        <f>IF(OR(A153&gt;$C$7,$F$5=""),NA(),IF(A153=$F$5,$C$5,NA()))</f>
        <v/>
      </c>
    </row>
    <row r="154">
      <c r="A154" s="5">
        <f>IF(143=0,0,143*$C$8)</f>
        <v/>
      </c>
      <c r="B154" s="9">
        <f>IF(A154&gt;$C$7,NA(),A154*$C$6)</f>
        <v/>
      </c>
      <c r="C154" s="9">
        <f>IF(A154&gt;$C$7,NA(),$C$5)</f>
        <v/>
      </c>
      <c r="D154" s="9">
        <f>IF(A154&gt;$C$7,NA(),B154-C154)</f>
        <v/>
      </c>
      <c r="E154" s="9">
        <f>IF(OR(A154&gt;$C$7,$F$5=""),NA(),IF(A154=$F$5,$C$5,NA()))</f>
        <v/>
      </c>
    </row>
    <row r="155">
      <c r="A155" s="5">
        <f>IF(144=0,0,144*$C$8)</f>
        <v/>
      </c>
      <c r="B155" s="9">
        <f>IF(A155&gt;$C$7,NA(),A155*$C$6)</f>
        <v/>
      </c>
      <c r="C155" s="9">
        <f>IF(A155&gt;$C$7,NA(),$C$5)</f>
        <v/>
      </c>
      <c r="D155" s="9">
        <f>IF(A155&gt;$C$7,NA(),B155-C155)</f>
        <v/>
      </c>
      <c r="E155" s="9">
        <f>IF(OR(A155&gt;$C$7,$F$5=""),NA(),IF(A155=$F$5,$C$5,NA()))</f>
        <v/>
      </c>
    </row>
    <row r="156">
      <c r="A156" s="5">
        <f>IF(145=0,0,145*$C$8)</f>
        <v/>
      </c>
      <c r="B156" s="9">
        <f>IF(A156&gt;$C$7,NA(),A156*$C$6)</f>
        <v/>
      </c>
      <c r="C156" s="9">
        <f>IF(A156&gt;$C$7,NA(),$C$5)</f>
        <v/>
      </c>
      <c r="D156" s="9">
        <f>IF(A156&gt;$C$7,NA(),B156-C156)</f>
        <v/>
      </c>
      <c r="E156" s="9">
        <f>IF(OR(A156&gt;$C$7,$F$5=""),NA(),IF(A156=$F$5,$C$5,NA()))</f>
        <v/>
      </c>
    </row>
    <row r="157">
      <c r="A157" s="5">
        <f>IF(146=0,0,146*$C$8)</f>
        <v/>
      </c>
      <c r="B157" s="9">
        <f>IF(A157&gt;$C$7,NA(),A157*$C$6)</f>
        <v/>
      </c>
      <c r="C157" s="9">
        <f>IF(A157&gt;$C$7,NA(),$C$5)</f>
        <v/>
      </c>
      <c r="D157" s="9">
        <f>IF(A157&gt;$C$7,NA(),B157-C157)</f>
        <v/>
      </c>
      <c r="E157" s="9">
        <f>IF(OR(A157&gt;$C$7,$F$5=""),NA(),IF(A157=$F$5,$C$5,NA()))</f>
        <v/>
      </c>
    </row>
    <row r="158">
      <c r="A158" s="5">
        <f>IF(147=0,0,147*$C$8)</f>
        <v/>
      </c>
      <c r="B158" s="9">
        <f>IF(A158&gt;$C$7,NA(),A158*$C$6)</f>
        <v/>
      </c>
      <c r="C158" s="9">
        <f>IF(A158&gt;$C$7,NA(),$C$5)</f>
        <v/>
      </c>
      <c r="D158" s="9">
        <f>IF(A158&gt;$C$7,NA(),B158-C158)</f>
        <v/>
      </c>
      <c r="E158" s="9">
        <f>IF(OR(A158&gt;$C$7,$F$5=""),NA(),IF(A158=$F$5,$C$5,NA()))</f>
        <v/>
      </c>
    </row>
    <row r="159">
      <c r="A159" s="5">
        <f>IF(148=0,0,148*$C$8)</f>
        <v/>
      </c>
      <c r="B159" s="9">
        <f>IF(A159&gt;$C$7,NA(),A159*$C$6)</f>
        <v/>
      </c>
      <c r="C159" s="9">
        <f>IF(A159&gt;$C$7,NA(),$C$5)</f>
        <v/>
      </c>
      <c r="D159" s="9">
        <f>IF(A159&gt;$C$7,NA(),B159-C159)</f>
        <v/>
      </c>
      <c r="E159" s="9">
        <f>IF(OR(A159&gt;$C$7,$F$5=""),NA(),IF(A159=$F$5,$C$5,NA()))</f>
        <v/>
      </c>
    </row>
    <row r="160">
      <c r="A160" s="5">
        <f>IF(149=0,0,149*$C$8)</f>
        <v/>
      </c>
      <c r="B160" s="9">
        <f>IF(A160&gt;$C$7,NA(),A160*$C$6)</f>
        <v/>
      </c>
      <c r="C160" s="9">
        <f>IF(A160&gt;$C$7,NA(),$C$5)</f>
        <v/>
      </c>
      <c r="D160" s="9">
        <f>IF(A160&gt;$C$7,NA(),B160-C160)</f>
        <v/>
      </c>
      <c r="E160" s="9">
        <f>IF(OR(A160&gt;$C$7,$F$5=""),NA(),IF(A160=$F$5,$C$5,NA()))</f>
        <v/>
      </c>
    </row>
    <row r="161">
      <c r="A161" s="5">
        <f>IF(150=0,0,150*$C$8)</f>
        <v/>
      </c>
      <c r="B161" s="9">
        <f>IF(A161&gt;$C$7,NA(),A161*$C$6)</f>
        <v/>
      </c>
      <c r="C161" s="9">
        <f>IF(A161&gt;$C$7,NA(),$C$5)</f>
        <v/>
      </c>
      <c r="D161" s="9">
        <f>IF(A161&gt;$C$7,NA(),B161-C161)</f>
        <v/>
      </c>
      <c r="E161" s="9">
        <f>IF(OR(A161&gt;$C$7,$F$5=""),NA(),IF(A161=$F$5,$C$5,NA()))</f>
        <v/>
      </c>
    </row>
    <row r="162">
      <c r="A162" s="5">
        <f>IF(151=0,0,151*$C$8)</f>
        <v/>
      </c>
      <c r="B162" s="9">
        <f>IF(A162&gt;$C$7,NA(),A162*$C$6)</f>
        <v/>
      </c>
      <c r="C162" s="9">
        <f>IF(A162&gt;$C$7,NA(),$C$5)</f>
        <v/>
      </c>
      <c r="D162" s="9">
        <f>IF(A162&gt;$C$7,NA(),B162-C162)</f>
        <v/>
      </c>
      <c r="E162" s="9">
        <f>IF(OR(A162&gt;$C$7,$F$5=""),NA(),IF(A162=$F$5,$C$5,NA()))</f>
        <v/>
      </c>
    </row>
    <row r="163">
      <c r="A163" s="5">
        <f>IF(152=0,0,152*$C$8)</f>
        <v/>
      </c>
      <c r="B163" s="9">
        <f>IF(A163&gt;$C$7,NA(),A163*$C$6)</f>
        <v/>
      </c>
      <c r="C163" s="9">
        <f>IF(A163&gt;$C$7,NA(),$C$5)</f>
        <v/>
      </c>
      <c r="D163" s="9">
        <f>IF(A163&gt;$C$7,NA(),B163-C163)</f>
        <v/>
      </c>
      <c r="E163" s="9">
        <f>IF(OR(A163&gt;$C$7,$F$5=""),NA(),IF(A163=$F$5,$C$5,NA()))</f>
        <v/>
      </c>
    </row>
    <row r="164">
      <c r="A164" s="5">
        <f>IF(153=0,0,153*$C$8)</f>
        <v/>
      </c>
      <c r="B164" s="9">
        <f>IF(A164&gt;$C$7,NA(),A164*$C$6)</f>
        <v/>
      </c>
      <c r="C164" s="9">
        <f>IF(A164&gt;$C$7,NA(),$C$5)</f>
        <v/>
      </c>
      <c r="D164" s="9">
        <f>IF(A164&gt;$C$7,NA(),B164-C164)</f>
        <v/>
      </c>
      <c r="E164" s="9">
        <f>IF(OR(A164&gt;$C$7,$F$5=""),NA(),IF(A164=$F$5,$C$5,NA()))</f>
        <v/>
      </c>
    </row>
    <row r="165">
      <c r="A165" s="5">
        <f>IF(154=0,0,154*$C$8)</f>
        <v/>
      </c>
      <c r="B165" s="9">
        <f>IF(A165&gt;$C$7,NA(),A165*$C$6)</f>
        <v/>
      </c>
      <c r="C165" s="9">
        <f>IF(A165&gt;$C$7,NA(),$C$5)</f>
        <v/>
      </c>
      <c r="D165" s="9">
        <f>IF(A165&gt;$C$7,NA(),B165-C165)</f>
        <v/>
      </c>
      <c r="E165" s="9">
        <f>IF(OR(A165&gt;$C$7,$F$5=""),NA(),IF(A165=$F$5,$C$5,NA()))</f>
        <v/>
      </c>
    </row>
    <row r="166">
      <c r="A166" s="5">
        <f>IF(155=0,0,155*$C$8)</f>
        <v/>
      </c>
      <c r="B166" s="9">
        <f>IF(A166&gt;$C$7,NA(),A166*$C$6)</f>
        <v/>
      </c>
      <c r="C166" s="9">
        <f>IF(A166&gt;$C$7,NA(),$C$5)</f>
        <v/>
      </c>
      <c r="D166" s="9">
        <f>IF(A166&gt;$C$7,NA(),B166-C166)</f>
        <v/>
      </c>
      <c r="E166" s="9">
        <f>IF(OR(A166&gt;$C$7,$F$5=""),NA(),IF(A166=$F$5,$C$5,NA()))</f>
        <v/>
      </c>
    </row>
    <row r="167">
      <c r="A167" s="5">
        <f>IF(156=0,0,156*$C$8)</f>
        <v/>
      </c>
      <c r="B167" s="9">
        <f>IF(A167&gt;$C$7,NA(),A167*$C$6)</f>
        <v/>
      </c>
      <c r="C167" s="9">
        <f>IF(A167&gt;$C$7,NA(),$C$5)</f>
        <v/>
      </c>
      <c r="D167" s="9">
        <f>IF(A167&gt;$C$7,NA(),B167-C167)</f>
        <v/>
      </c>
      <c r="E167" s="9">
        <f>IF(OR(A167&gt;$C$7,$F$5=""),NA(),IF(A167=$F$5,$C$5,NA()))</f>
        <v/>
      </c>
    </row>
    <row r="168">
      <c r="A168" s="5">
        <f>IF(157=0,0,157*$C$8)</f>
        <v/>
      </c>
      <c r="B168" s="9">
        <f>IF(A168&gt;$C$7,NA(),A168*$C$6)</f>
        <v/>
      </c>
      <c r="C168" s="9">
        <f>IF(A168&gt;$C$7,NA(),$C$5)</f>
        <v/>
      </c>
      <c r="D168" s="9">
        <f>IF(A168&gt;$C$7,NA(),B168-C168)</f>
        <v/>
      </c>
      <c r="E168" s="9">
        <f>IF(OR(A168&gt;$C$7,$F$5=""),NA(),IF(A168=$F$5,$C$5,NA()))</f>
        <v/>
      </c>
    </row>
    <row r="169">
      <c r="A169" s="5">
        <f>IF(158=0,0,158*$C$8)</f>
        <v/>
      </c>
      <c r="B169" s="9">
        <f>IF(A169&gt;$C$7,NA(),A169*$C$6)</f>
        <v/>
      </c>
      <c r="C169" s="9">
        <f>IF(A169&gt;$C$7,NA(),$C$5)</f>
        <v/>
      </c>
      <c r="D169" s="9">
        <f>IF(A169&gt;$C$7,NA(),B169-C169)</f>
        <v/>
      </c>
      <c r="E169" s="9">
        <f>IF(OR(A169&gt;$C$7,$F$5=""),NA(),IF(A169=$F$5,$C$5,NA()))</f>
        <v/>
      </c>
    </row>
    <row r="170">
      <c r="A170" s="5">
        <f>IF(159=0,0,159*$C$8)</f>
        <v/>
      </c>
      <c r="B170" s="9">
        <f>IF(A170&gt;$C$7,NA(),A170*$C$6)</f>
        <v/>
      </c>
      <c r="C170" s="9">
        <f>IF(A170&gt;$C$7,NA(),$C$5)</f>
        <v/>
      </c>
      <c r="D170" s="9">
        <f>IF(A170&gt;$C$7,NA(),B170-C170)</f>
        <v/>
      </c>
      <c r="E170" s="9">
        <f>IF(OR(A170&gt;$C$7,$F$5=""),NA(),IF(A170=$F$5,$C$5,NA()))</f>
        <v/>
      </c>
    </row>
    <row r="171">
      <c r="A171" s="5">
        <f>IF(160=0,0,160*$C$8)</f>
        <v/>
      </c>
      <c r="B171" s="9">
        <f>IF(A171&gt;$C$7,NA(),A171*$C$6)</f>
        <v/>
      </c>
      <c r="C171" s="9">
        <f>IF(A171&gt;$C$7,NA(),$C$5)</f>
        <v/>
      </c>
      <c r="D171" s="9">
        <f>IF(A171&gt;$C$7,NA(),B171-C171)</f>
        <v/>
      </c>
      <c r="E171" s="9">
        <f>IF(OR(A171&gt;$C$7,$F$5=""),NA(),IF(A171=$F$5,$C$5,NA()))</f>
        <v/>
      </c>
    </row>
    <row r="172">
      <c r="A172" s="5">
        <f>IF(161=0,0,161*$C$8)</f>
        <v/>
      </c>
      <c r="B172" s="9">
        <f>IF(A172&gt;$C$7,NA(),A172*$C$6)</f>
        <v/>
      </c>
      <c r="C172" s="9">
        <f>IF(A172&gt;$C$7,NA(),$C$5)</f>
        <v/>
      </c>
      <c r="D172" s="9">
        <f>IF(A172&gt;$C$7,NA(),B172-C172)</f>
        <v/>
      </c>
      <c r="E172" s="9">
        <f>IF(OR(A172&gt;$C$7,$F$5=""),NA(),IF(A172=$F$5,$C$5,NA()))</f>
        <v/>
      </c>
    </row>
    <row r="173">
      <c r="A173" s="5">
        <f>IF(162=0,0,162*$C$8)</f>
        <v/>
      </c>
      <c r="B173" s="9">
        <f>IF(A173&gt;$C$7,NA(),A173*$C$6)</f>
        <v/>
      </c>
      <c r="C173" s="9">
        <f>IF(A173&gt;$C$7,NA(),$C$5)</f>
        <v/>
      </c>
      <c r="D173" s="9">
        <f>IF(A173&gt;$C$7,NA(),B173-C173)</f>
        <v/>
      </c>
      <c r="E173" s="9">
        <f>IF(OR(A173&gt;$C$7,$F$5=""),NA(),IF(A173=$F$5,$C$5,NA()))</f>
        <v/>
      </c>
    </row>
    <row r="174">
      <c r="A174" s="5">
        <f>IF(163=0,0,163*$C$8)</f>
        <v/>
      </c>
      <c r="B174" s="9">
        <f>IF(A174&gt;$C$7,NA(),A174*$C$6)</f>
        <v/>
      </c>
      <c r="C174" s="9">
        <f>IF(A174&gt;$C$7,NA(),$C$5)</f>
        <v/>
      </c>
      <c r="D174" s="9">
        <f>IF(A174&gt;$C$7,NA(),B174-C174)</f>
        <v/>
      </c>
      <c r="E174" s="9">
        <f>IF(OR(A174&gt;$C$7,$F$5=""),NA(),IF(A174=$F$5,$C$5,NA()))</f>
        <v/>
      </c>
    </row>
    <row r="175">
      <c r="A175" s="5">
        <f>IF(164=0,0,164*$C$8)</f>
        <v/>
      </c>
      <c r="B175" s="9">
        <f>IF(A175&gt;$C$7,NA(),A175*$C$6)</f>
        <v/>
      </c>
      <c r="C175" s="9">
        <f>IF(A175&gt;$C$7,NA(),$C$5)</f>
        <v/>
      </c>
      <c r="D175" s="9">
        <f>IF(A175&gt;$C$7,NA(),B175-C175)</f>
        <v/>
      </c>
      <c r="E175" s="9">
        <f>IF(OR(A175&gt;$C$7,$F$5=""),NA(),IF(A175=$F$5,$C$5,NA()))</f>
        <v/>
      </c>
    </row>
    <row r="176">
      <c r="A176" s="5">
        <f>IF(165=0,0,165*$C$8)</f>
        <v/>
      </c>
      <c r="B176" s="9">
        <f>IF(A176&gt;$C$7,NA(),A176*$C$6)</f>
        <v/>
      </c>
      <c r="C176" s="9">
        <f>IF(A176&gt;$C$7,NA(),$C$5)</f>
        <v/>
      </c>
      <c r="D176" s="9">
        <f>IF(A176&gt;$C$7,NA(),B176-C176)</f>
        <v/>
      </c>
      <c r="E176" s="9">
        <f>IF(OR(A176&gt;$C$7,$F$5=""),NA(),IF(A176=$F$5,$C$5,NA()))</f>
        <v/>
      </c>
    </row>
    <row r="177">
      <c r="A177" s="5">
        <f>IF(166=0,0,166*$C$8)</f>
        <v/>
      </c>
      <c r="B177" s="9">
        <f>IF(A177&gt;$C$7,NA(),A177*$C$6)</f>
        <v/>
      </c>
      <c r="C177" s="9">
        <f>IF(A177&gt;$C$7,NA(),$C$5)</f>
        <v/>
      </c>
      <c r="D177" s="9">
        <f>IF(A177&gt;$C$7,NA(),B177-C177)</f>
        <v/>
      </c>
      <c r="E177" s="9">
        <f>IF(OR(A177&gt;$C$7,$F$5=""),NA(),IF(A177=$F$5,$C$5,NA()))</f>
        <v/>
      </c>
    </row>
    <row r="178">
      <c r="A178" s="5">
        <f>IF(167=0,0,167*$C$8)</f>
        <v/>
      </c>
      <c r="B178" s="9">
        <f>IF(A178&gt;$C$7,NA(),A178*$C$6)</f>
        <v/>
      </c>
      <c r="C178" s="9">
        <f>IF(A178&gt;$C$7,NA(),$C$5)</f>
        <v/>
      </c>
      <c r="D178" s="9">
        <f>IF(A178&gt;$C$7,NA(),B178-C178)</f>
        <v/>
      </c>
      <c r="E178" s="9">
        <f>IF(OR(A178&gt;$C$7,$F$5=""),NA(),IF(A178=$F$5,$C$5,NA()))</f>
        <v/>
      </c>
    </row>
    <row r="179">
      <c r="A179" s="5">
        <f>IF(168=0,0,168*$C$8)</f>
        <v/>
      </c>
      <c r="B179" s="9">
        <f>IF(A179&gt;$C$7,NA(),A179*$C$6)</f>
        <v/>
      </c>
      <c r="C179" s="9">
        <f>IF(A179&gt;$C$7,NA(),$C$5)</f>
        <v/>
      </c>
      <c r="D179" s="9">
        <f>IF(A179&gt;$C$7,NA(),B179-C179)</f>
        <v/>
      </c>
      <c r="E179" s="9">
        <f>IF(OR(A179&gt;$C$7,$F$5=""),NA(),IF(A179=$F$5,$C$5,NA()))</f>
        <v/>
      </c>
    </row>
    <row r="180">
      <c r="A180" s="5">
        <f>IF(169=0,0,169*$C$8)</f>
        <v/>
      </c>
      <c r="B180" s="9">
        <f>IF(A180&gt;$C$7,NA(),A180*$C$6)</f>
        <v/>
      </c>
      <c r="C180" s="9">
        <f>IF(A180&gt;$C$7,NA(),$C$5)</f>
        <v/>
      </c>
      <c r="D180" s="9">
        <f>IF(A180&gt;$C$7,NA(),B180-C180)</f>
        <v/>
      </c>
      <c r="E180" s="9">
        <f>IF(OR(A180&gt;$C$7,$F$5=""),NA(),IF(A180=$F$5,$C$5,NA()))</f>
        <v/>
      </c>
    </row>
    <row r="181">
      <c r="A181" s="5">
        <f>IF(170=0,0,170*$C$8)</f>
        <v/>
      </c>
      <c r="B181" s="9">
        <f>IF(A181&gt;$C$7,NA(),A181*$C$6)</f>
        <v/>
      </c>
      <c r="C181" s="9">
        <f>IF(A181&gt;$C$7,NA(),$C$5)</f>
        <v/>
      </c>
      <c r="D181" s="9">
        <f>IF(A181&gt;$C$7,NA(),B181-C181)</f>
        <v/>
      </c>
      <c r="E181" s="9">
        <f>IF(OR(A181&gt;$C$7,$F$5=""),NA(),IF(A181=$F$5,$C$5,NA()))</f>
        <v/>
      </c>
    </row>
    <row r="182">
      <c r="A182" s="5">
        <f>IF(171=0,0,171*$C$8)</f>
        <v/>
      </c>
      <c r="B182" s="9">
        <f>IF(A182&gt;$C$7,NA(),A182*$C$6)</f>
        <v/>
      </c>
      <c r="C182" s="9">
        <f>IF(A182&gt;$C$7,NA(),$C$5)</f>
        <v/>
      </c>
      <c r="D182" s="9">
        <f>IF(A182&gt;$C$7,NA(),B182-C182)</f>
        <v/>
      </c>
      <c r="E182" s="9">
        <f>IF(OR(A182&gt;$C$7,$F$5=""),NA(),IF(A182=$F$5,$C$5,NA()))</f>
        <v/>
      </c>
    </row>
    <row r="183">
      <c r="A183" s="5">
        <f>IF(172=0,0,172*$C$8)</f>
        <v/>
      </c>
      <c r="B183" s="9">
        <f>IF(A183&gt;$C$7,NA(),A183*$C$6)</f>
        <v/>
      </c>
      <c r="C183" s="9">
        <f>IF(A183&gt;$C$7,NA(),$C$5)</f>
        <v/>
      </c>
      <c r="D183" s="9">
        <f>IF(A183&gt;$C$7,NA(),B183-C183)</f>
        <v/>
      </c>
      <c r="E183" s="9">
        <f>IF(OR(A183&gt;$C$7,$F$5=""),NA(),IF(A183=$F$5,$C$5,NA()))</f>
        <v/>
      </c>
    </row>
    <row r="184">
      <c r="A184" s="5">
        <f>IF(173=0,0,173*$C$8)</f>
        <v/>
      </c>
      <c r="B184" s="9">
        <f>IF(A184&gt;$C$7,NA(),A184*$C$6)</f>
        <v/>
      </c>
      <c r="C184" s="9">
        <f>IF(A184&gt;$C$7,NA(),$C$5)</f>
        <v/>
      </c>
      <c r="D184" s="9">
        <f>IF(A184&gt;$C$7,NA(),B184-C184)</f>
        <v/>
      </c>
      <c r="E184" s="9">
        <f>IF(OR(A184&gt;$C$7,$F$5=""),NA(),IF(A184=$F$5,$C$5,NA()))</f>
        <v/>
      </c>
    </row>
    <row r="185">
      <c r="A185" s="5">
        <f>IF(174=0,0,174*$C$8)</f>
        <v/>
      </c>
      <c r="B185" s="9">
        <f>IF(A185&gt;$C$7,NA(),A185*$C$6)</f>
        <v/>
      </c>
      <c r="C185" s="9">
        <f>IF(A185&gt;$C$7,NA(),$C$5)</f>
        <v/>
      </c>
      <c r="D185" s="9">
        <f>IF(A185&gt;$C$7,NA(),B185-C185)</f>
        <v/>
      </c>
      <c r="E185" s="9">
        <f>IF(OR(A185&gt;$C$7,$F$5=""),NA(),IF(A185=$F$5,$C$5,NA()))</f>
        <v/>
      </c>
    </row>
    <row r="186">
      <c r="A186" s="5">
        <f>IF(175=0,0,175*$C$8)</f>
        <v/>
      </c>
      <c r="B186" s="9">
        <f>IF(A186&gt;$C$7,NA(),A186*$C$6)</f>
        <v/>
      </c>
      <c r="C186" s="9">
        <f>IF(A186&gt;$C$7,NA(),$C$5)</f>
        <v/>
      </c>
      <c r="D186" s="9">
        <f>IF(A186&gt;$C$7,NA(),B186-C186)</f>
        <v/>
      </c>
      <c r="E186" s="9">
        <f>IF(OR(A186&gt;$C$7,$F$5=""),NA(),IF(A186=$F$5,$C$5,NA()))</f>
        <v/>
      </c>
    </row>
    <row r="187">
      <c r="A187" s="5">
        <f>IF(176=0,0,176*$C$8)</f>
        <v/>
      </c>
      <c r="B187" s="9">
        <f>IF(A187&gt;$C$7,NA(),A187*$C$6)</f>
        <v/>
      </c>
      <c r="C187" s="9">
        <f>IF(A187&gt;$C$7,NA(),$C$5)</f>
        <v/>
      </c>
      <c r="D187" s="9">
        <f>IF(A187&gt;$C$7,NA(),B187-C187)</f>
        <v/>
      </c>
      <c r="E187" s="9">
        <f>IF(OR(A187&gt;$C$7,$F$5=""),NA(),IF(A187=$F$5,$C$5,NA()))</f>
        <v/>
      </c>
    </row>
    <row r="188">
      <c r="A188" s="5">
        <f>IF(177=0,0,177*$C$8)</f>
        <v/>
      </c>
      <c r="B188" s="9">
        <f>IF(A188&gt;$C$7,NA(),A188*$C$6)</f>
        <v/>
      </c>
      <c r="C188" s="9">
        <f>IF(A188&gt;$C$7,NA(),$C$5)</f>
        <v/>
      </c>
      <c r="D188" s="9">
        <f>IF(A188&gt;$C$7,NA(),B188-C188)</f>
        <v/>
      </c>
      <c r="E188" s="9">
        <f>IF(OR(A188&gt;$C$7,$F$5=""),NA(),IF(A188=$F$5,$C$5,NA()))</f>
        <v/>
      </c>
    </row>
    <row r="189">
      <c r="A189" s="5">
        <f>IF(178=0,0,178*$C$8)</f>
        <v/>
      </c>
      <c r="B189" s="9">
        <f>IF(A189&gt;$C$7,NA(),A189*$C$6)</f>
        <v/>
      </c>
      <c r="C189" s="9">
        <f>IF(A189&gt;$C$7,NA(),$C$5)</f>
        <v/>
      </c>
      <c r="D189" s="9">
        <f>IF(A189&gt;$C$7,NA(),B189-C189)</f>
        <v/>
      </c>
      <c r="E189" s="9">
        <f>IF(OR(A189&gt;$C$7,$F$5=""),NA(),IF(A189=$F$5,$C$5,NA()))</f>
        <v/>
      </c>
    </row>
    <row r="190">
      <c r="A190" s="5">
        <f>IF(179=0,0,179*$C$8)</f>
        <v/>
      </c>
      <c r="B190" s="9">
        <f>IF(A190&gt;$C$7,NA(),A190*$C$6)</f>
        <v/>
      </c>
      <c r="C190" s="9">
        <f>IF(A190&gt;$C$7,NA(),$C$5)</f>
        <v/>
      </c>
      <c r="D190" s="9">
        <f>IF(A190&gt;$C$7,NA(),B190-C190)</f>
        <v/>
      </c>
      <c r="E190" s="9">
        <f>IF(OR(A190&gt;$C$7,$F$5=""),NA(),IF(A190=$F$5,$C$5,NA()))</f>
        <v/>
      </c>
    </row>
    <row r="191">
      <c r="A191" s="5">
        <f>IF(180=0,0,180*$C$8)</f>
        <v/>
      </c>
      <c r="B191" s="9">
        <f>IF(A191&gt;$C$7,NA(),A191*$C$6)</f>
        <v/>
      </c>
      <c r="C191" s="9">
        <f>IF(A191&gt;$C$7,NA(),$C$5)</f>
        <v/>
      </c>
      <c r="D191" s="9">
        <f>IF(A191&gt;$C$7,NA(),B191-C191)</f>
        <v/>
      </c>
      <c r="E191" s="9">
        <f>IF(OR(A191&gt;$C$7,$F$5=""),NA(),IF(A191=$F$5,$C$5,NA()))</f>
        <v/>
      </c>
    </row>
    <row r="192">
      <c r="A192" s="5">
        <f>IF(181=0,0,181*$C$8)</f>
        <v/>
      </c>
      <c r="B192" s="9">
        <f>IF(A192&gt;$C$7,NA(),A192*$C$6)</f>
        <v/>
      </c>
      <c r="C192" s="9">
        <f>IF(A192&gt;$C$7,NA(),$C$5)</f>
        <v/>
      </c>
      <c r="D192" s="9">
        <f>IF(A192&gt;$C$7,NA(),B192-C192)</f>
        <v/>
      </c>
      <c r="E192" s="9">
        <f>IF(OR(A192&gt;$C$7,$F$5=""),NA(),IF(A192=$F$5,$C$5,NA()))</f>
        <v/>
      </c>
    </row>
    <row r="193">
      <c r="A193" s="5">
        <f>IF(182=0,0,182*$C$8)</f>
        <v/>
      </c>
      <c r="B193" s="9">
        <f>IF(A193&gt;$C$7,NA(),A193*$C$6)</f>
        <v/>
      </c>
      <c r="C193" s="9">
        <f>IF(A193&gt;$C$7,NA(),$C$5)</f>
        <v/>
      </c>
      <c r="D193" s="9">
        <f>IF(A193&gt;$C$7,NA(),B193-C193)</f>
        <v/>
      </c>
      <c r="E193" s="9">
        <f>IF(OR(A193&gt;$C$7,$F$5=""),NA(),IF(A193=$F$5,$C$5,NA()))</f>
        <v/>
      </c>
    </row>
    <row r="194">
      <c r="A194" s="5">
        <f>IF(183=0,0,183*$C$8)</f>
        <v/>
      </c>
      <c r="B194" s="9">
        <f>IF(A194&gt;$C$7,NA(),A194*$C$6)</f>
        <v/>
      </c>
      <c r="C194" s="9">
        <f>IF(A194&gt;$C$7,NA(),$C$5)</f>
        <v/>
      </c>
      <c r="D194" s="9">
        <f>IF(A194&gt;$C$7,NA(),B194-C194)</f>
        <v/>
      </c>
      <c r="E194" s="9">
        <f>IF(OR(A194&gt;$C$7,$F$5=""),NA(),IF(A194=$F$5,$C$5,NA()))</f>
        <v/>
      </c>
    </row>
    <row r="195">
      <c r="A195" s="5">
        <f>IF(184=0,0,184*$C$8)</f>
        <v/>
      </c>
      <c r="B195" s="9">
        <f>IF(A195&gt;$C$7,NA(),A195*$C$6)</f>
        <v/>
      </c>
      <c r="C195" s="9">
        <f>IF(A195&gt;$C$7,NA(),$C$5)</f>
        <v/>
      </c>
      <c r="D195" s="9">
        <f>IF(A195&gt;$C$7,NA(),B195-C195)</f>
        <v/>
      </c>
      <c r="E195" s="9">
        <f>IF(OR(A195&gt;$C$7,$F$5=""),NA(),IF(A195=$F$5,$C$5,NA()))</f>
        <v/>
      </c>
    </row>
    <row r="196">
      <c r="A196" s="5">
        <f>IF(185=0,0,185*$C$8)</f>
        <v/>
      </c>
      <c r="B196" s="9">
        <f>IF(A196&gt;$C$7,NA(),A196*$C$6)</f>
        <v/>
      </c>
      <c r="C196" s="9">
        <f>IF(A196&gt;$C$7,NA(),$C$5)</f>
        <v/>
      </c>
      <c r="D196" s="9">
        <f>IF(A196&gt;$C$7,NA(),B196-C196)</f>
        <v/>
      </c>
      <c r="E196" s="9">
        <f>IF(OR(A196&gt;$C$7,$F$5=""),NA(),IF(A196=$F$5,$C$5,NA()))</f>
        <v/>
      </c>
    </row>
    <row r="197">
      <c r="A197" s="5">
        <f>IF(186=0,0,186*$C$8)</f>
        <v/>
      </c>
      <c r="B197" s="9">
        <f>IF(A197&gt;$C$7,NA(),A197*$C$6)</f>
        <v/>
      </c>
      <c r="C197" s="9">
        <f>IF(A197&gt;$C$7,NA(),$C$5)</f>
        <v/>
      </c>
      <c r="D197" s="9">
        <f>IF(A197&gt;$C$7,NA(),B197-C197)</f>
        <v/>
      </c>
      <c r="E197" s="9">
        <f>IF(OR(A197&gt;$C$7,$F$5=""),NA(),IF(A197=$F$5,$C$5,NA()))</f>
        <v/>
      </c>
    </row>
    <row r="198">
      <c r="A198" s="5">
        <f>IF(187=0,0,187*$C$8)</f>
        <v/>
      </c>
      <c r="B198" s="9">
        <f>IF(A198&gt;$C$7,NA(),A198*$C$6)</f>
        <v/>
      </c>
      <c r="C198" s="9">
        <f>IF(A198&gt;$C$7,NA(),$C$5)</f>
        <v/>
      </c>
      <c r="D198" s="9">
        <f>IF(A198&gt;$C$7,NA(),B198-C198)</f>
        <v/>
      </c>
      <c r="E198" s="9">
        <f>IF(OR(A198&gt;$C$7,$F$5=""),NA(),IF(A198=$F$5,$C$5,NA()))</f>
        <v/>
      </c>
    </row>
    <row r="199">
      <c r="A199" s="5">
        <f>IF(188=0,0,188*$C$8)</f>
        <v/>
      </c>
      <c r="B199" s="9">
        <f>IF(A199&gt;$C$7,NA(),A199*$C$6)</f>
        <v/>
      </c>
      <c r="C199" s="9">
        <f>IF(A199&gt;$C$7,NA(),$C$5)</f>
        <v/>
      </c>
      <c r="D199" s="9">
        <f>IF(A199&gt;$C$7,NA(),B199-C199)</f>
        <v/>
      </c>
      <c r="E199" s="9">
        <f>IF(OR(A199&gt;$C$7,$F$5=""),NA(),IF(A199=$F$5,$C$5,NA()))</f>
        <v/>
      </c>
    </row>
    <row r="200">
      <c r="A200" s="5">
        <f>IF(189=0,0,189*$C$8)</f>
        <v/>
      </c>
      <c r="B200" s="9">
        <f>IF(A200&gt;$C$7,NA(),A200*$C$6)</f>
        <v/>
      </c>
      <c r="C200" s="9">
        <f>IF(A200&gt;$C$7,NA(),$C$5)</f>
        <v/>
      </c>
      <c r="D200" s="9">
        <f>IF(A200&gt;$C$7,NA(),B200-C200)</f>
        <v/>
      </c>
      <c r="E200" s="9">
        <f>IF(OR(A200&gt;$C$7,$F$5=""),NA(),IF(A200=$F$5,$C$5,NA()))</f>
        <v/>
      </c>
    </row>
    <row r="201">
      <c r="A201" s="5">
        <f>IF(190=0,0,190*$C$8)</f>
        <v/>
      </c>
      <c r="B201" s="9">
        <f>IF(A201&gt;$C$7,NA(),A201*$C$6)</f>
        <v/>
      </c>
      <c r="C201" s="9">
        <f>IF(A201&gt;$C$7,NA(),$C$5)</f>
        <v/>
      </c>
      <c r="D201" s="9">
        <f>IF(A201&gt;$C$7,NA(),B201-C201)</f>
        <v/>
      </c>
      <c r="E201" s="9">
        <f>IF(OR(A201&gt;$C$7,$F$5=""),NA(),IF(A201=$F$5,$C$5,NA()))</f>
        <v/>
      </c>
    </row>
    <row r="202">
      <c r="A202" s="5">
        <f>IF(191=0,0,191*$C$8)</f>
        <v/>
      </c>
      <c r="B202" s="9">
        <f>IF(A202&gt;$C$7,NA(),A202*$C$6)</f>
        <v/>
      </c>
      <c r="C202" s="9">
        <f>IF(A202&gt;$C$7,NA(),$C$5)</f>
        <v/>
      </c>
      <c r="D202" s="9">
        <f>IF(A202&gt;$C$7,NA(),B202-C202)</f>
        <v/>
      </c>
      <c r="E202" s="9">
        <f>IF(OR(A202&gt;$C$7,$F$5=""),NA(),IF(A202=$F$5,$C$5,NA()))</f>
        <v/>
      </c>
    </row>
    <row r="203">
      <c r="A203" s="5">
        <f>IF(192=0,0,192*$C$8)</f>
        <v/>
      </c>
      <c r="B203" s="9">
        <f>IF(A203&gt;$C$7,NA(),A203*$C$6)</f>
        <v/>
      </c>
      <c r="C203" s="9">
        <f>IF(A203&gt;$C$7,NA(),$C$5)</f>
        <v/>
      </c>
      <c r="D203" s="9">
        <f>IF(A203&gt;$C$7,NA(),B203-C203)</f>
        <v/>
      </c>
      <c r="E203" s="9">
        <f>IF(OR(A203&gt;$C$7,$F$5=""),NA(),IF(A203=$F$5,$C$5,NA()))</f>
        <v/>
      </c>
    </row>
    <row r="204">
      <c r="A204" s="5">
        <f>IF(193=0,0,193*$C$8)</f>
        <v/>
      </c>
      <c r="B204" s="9">
        <f>IF(A204&gt;$C$7,NA(),A204*$C$6)</f>
        <v/>
      </c>
      <c r="C204" s="9">
        <f>IF(A204&gt;$C$7,NA(),$C$5)</f>
        <v/>
      </c>
      <c r="D204" s="9">
        <f>IF(A204&gt;$C$7,NA(),B204-C204)</f>
        <v/>
      </c>
      <c r="E204" s="9">
        <f>IF(OR(A204&gt;$C$7,$F$5=""),NA(),IF(A204=$F$5,$C$5,NA()))</f>
        <v/>
      </c>
    </row>
    <row r="205">
      <c r="A205" s="5">
        <f>IF(194=0,0,194*$C$8)</f>
        <v/>
      </c>
      <c r="B205" s="9">
        <f>IF(A205&gt;$C$7,NA(),A205*$C$6)</f>
        <v/>
      </c>
      <c r="C205" s="9">
        <f>IF(A205&gt;$C$7,NA(),$C$5)</f>
        <v/>
      </c>
      <c r="D205" s="9">
        <f>IF(A205&gt;$C$7,NA(),B205-C205)</f>
        <v/>
      </c>
      <c r="E205" s="9">
        <f>IF(OR(A205&gt;$C$7,$F$5=""),NA(),IF(A205=$F$5,$C$5,NA()))</f>
        <v/>
      </c>
    </row>
    <row r="206">
      <c r="A206" s="5">
        <f>IF(195=0,0,195*$C$8)</f>
        <v/>
      </c>
      <c r="B206" s="9">
        <f>IF(A206&gt;$C$7,NA(),A206*$C$6)</f>
        <v/>
      </c>
      <c r="C206" s="9">
        <f>IF(A206&gt;$C$7,NA(),$C$5)</f>
        <v/>
      </c>
      <c r="D206" s="9">
        <f>IF(A206&gt;$C$7,NA(),B206-C206)</f>
        <v/>
      </c>
      <c r="E206" s="9">
        <f>IF(OR(A206&gt;$C$7,$F$5=""),NA(),IF(A206=$F$5,$C$5,NA()))</f>
        <v/>
      </c>
    </row>
    <row r="207">
      <c r="A207" s="5">
        <f>IF(196=0,0,196*$C$8)</f>
        <v/>
      </c>
      <c r="B207" s="9">
        <f>IF(A207&gt;$C$7,NA(),A207*$C$6)</f>
        <v/>
      </c>
      <c r="C207" s="9">
        <f>IF(A207&gt;$C$7,NA(),$C$5)</f>
        <v/>
      </c>
      <c r="D207" s="9">
        <f>IF(A207&gt;$C$7,NA(),B207-C207)</f>
        <v/>
      </c>
      <c r="E207" s="9">
        <f>IF(OR(A207&gt;$C$7,$F$5=""),NA(),IF(A207=$F$5,$C$5,NA()))</f>
        <v/>
      </c>
    </row>
    <row r="208">
      <c r="A208" s="5">
        <f>IF(197=0,0,197*$C$8)</f>
        <v/>
      </c>
      <c r="B208" s="9">
        <f>IF(A208&gt;$C$7,NA(),A208*$C$6)</f>
        <v/>
      </c>
      <c r="C208" s="9">
        <f>IF(A208&gt;$C$7,NA(),$C$5)</f>
        <v/>
      </c>
      <c r="D208" s="9">
        <f>IF(A208&gt;$C$7,NA(),B208-C208)</f>
        <v/>
      </c>
      <c r="E208" s="9">
        <f>IF(OR(A208&gt;$C$7,$F$5=""),NA(),IF(A208=$F$5,$C$5,NA()))</f>
        <v/>
      </c>
    </row>
    <row r="209">
      <c r="A209" s="5">
        <f>IF(198=0,0,198*$C$8)</f>
        <v/>
      </c>
      <c r="B209" s="9">
        <f>IF(A209&gt;$C$7,NA(),A209*$C$6)</f>
        <v/>
      </c>
      <c r="C209" s="9">
        <f>IF(A209&gt;$C$7,NA(),$C$5)</f>
        <v/>
      </c>
      <c r="D209" s="9">
        <f>IF(A209&gt;$C$7,NA(),B209-C209)</f>
        <v/>
      </c>
      <c r="E209" s="9">
        <f>IF(OR(A209&gt;$C$7,$F$5=""),NA(),IF(A209=$F$5,$C$5,NA()))</f>
        <v/>
      </c>
    </row>
    <row r="210">
      <c r="A210" s="5">
        <f>IF(199=0,0,199*$C$8)</f>
        <v/>
      </c>
      <c r="B210" s="9">
        <f>IF(A210&gt;$C$7,NA(),A210*$C$6)</f>
        <v/>
      </c>
      <c r="C210" s="9">
        <f>IF(A210&gt;$C$7,NA(),$C$5)</f>
        <v/>
      </c>
      <c r="D210" s="9">
        <f>IF(A210&gt;$C$7,NA(),B210-C210)</f>
        <v/>
      </c>
      <c r="E210" s="9">
        <f>IF(OR(A210&gt;$C$7,$F$5=""),NA(),IF(A210=$F$5,$C$5,NA()))</f>
        <v/>
      </c>
    </row>
  </sheetData>
  <mergeCells count="8">
    <mergeCell ref="A9:H9"/>
    <mergeCell ref="A4:H4"/>
    <mergeCell ref="A43:H43"/>
    <mergeCell ref="A2:H2"/>
    <mergeCell ref="A42:H42"/>
    <mergeCell ref="A41:H41"/>
    <mergeCell ref="A1:H1"/>
    <mergeCell ref="A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2026-02-15T17:45:05Z</dcterms:created>
  <dcterms:modified xmlns:dcterms="http://purl.org/dc/terms/" xmlns:xsi="http://www.w3.org/2001/XMLSchema-instance" xsi:type="dcterms:W3CDTF">2026-02-15T17:45:05Z</dcterms:modified>
</cp:coreProperties>
</file>
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_Breakdow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2"/>
    </font>
    <font>
      <b val="1"/>
      <color rgb="001F4E79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2" customWidth="1" min="4" max="4"/>
    <col width="12" customWidth="1" min="5" max="5"/>
    <col width="12" customWidth="1" min="6" max="6"/>
    <col width="34" customWidth="1" min="7" max="7"/>
    <col width="18" customWidth="1" min="8" max="8"/>
  </cols>
  <sheetData>
    <row r="1">
      <c r="A1" s="1" t="inlineStr">
        <is>
          <t>3-Year Revenue &amp; Gross Profit Template (Fill in Yellow Cells)</t>
        </is>
      </c>
    </row>
    <row r="3">
      <c r="A3" s="2" t="inlineStr">
        <is>
          <t>Category</t>
        </is>
      </c>
      <c r="B3" s="2" t="inlineStr">
        <is>
          <t>Metric</t>
        </is>
      </c>
      <c r="C3" s="2" t="inlineStr">
        <is>
          <t>Unit</t>
        </is>
      </c>
      <c r="D3" s="2" t="inlineStr">
        <is>
          <t>Year 1</t>
        </is>
      </c>
      <c r="E3" s="2" t="inlineStr">
        <is>
          <t>Year 2</t>
        </is>
      </c>
      <c r="F3" s="2" t="inlineStr">
        <is>
          <t>Year 3</t>
        </is>
      </c>
      <c r="G3" s="2" t="inlineStr">
        <is>
          <t>Notes</t>
        </is>
      </c>
      <c r="H3" s="2" t="inlineStr">
        <is>
          <t>Source / Evidence ID</t>
        </is>
      </c>
    </row>
    <row r="4">
      <c r="A4" s="3" t="inlineStr">
        <is>
          <t>Theme Camp</t>
        </is>
      </c>
      <c r="B4" s="3" t="inlineStr">
        <is>
          <t>Paid participants (unique)</t>
        </is>
      </c>
      <c r="C4" s="3" t="inlineStr">
        <is>
          <t>people</t>
        </is>
      </c>
      <c r="D4" s="4" t="inlineStr"/>
      <c r="E4" s="4" t="inlineStr"/>
      <c r="F4" s="4" t="inlineStr"/>
      <c r="G4" s="3" t="inlineStr">
        <is>
          <t>Participants who paid for 7/14-day camps</t>
        </is>
      </c>
      <c r="H4" s="3" t="inlineStr">
        <is>
          <t>E-</t>
        </is>
      </c>
    </row>
    <row r="5">
      <c r="A5" s="3" t="inlineStr">
        <is>
          <t>Theme Camp</t>
        </is>
      </c>
      <c r="B5" s="3" t="inlineStr">
        <is>
          <t>Avg camp price (blended)</t>
        </is>
      </c>
      <c r="C5" s="3" t="inlineStr">
        <is>
          <t>CNY/person</t>
        </is>
      </c>
      <c r="D5" s="4" t="inlineStr"/>
      <c r="E5" s="4" t="inlineStr"/>
      <c r="F5" s="4" t="inlineStr"/>
      <c r="G5" s="3" t="inlineStr">
        <is>
          <t>Weighted avg across 7-day &amp; 14-day products</t>
        </is>
      </c>
      <c r="H5" s="3" t="inlineStr">
        <is>
          <t>E-</t>
        </is>
      </c>
    </row>
    <row r="6">
      <c r="A6" s="3" t="inlineStr">
        <is>
          <t>Theme Camp</t>
        </is>
      </c>
      <c r="B6" s="3" t="inlineStr">
        <is>
          <t>Cost per participant (variable)</t>
        </is>
      </c>
      <c r="C6" s="3" t="inlineStr">
        <is>
          <t>CNY/person</t>
        </is>
      </c>
      <c r="D6" s="4" t="inlineStr"/>
      <c r="E6" s="4" t="inlineStr"/>
      <c r="F6" s="4" t="inlineStr"/>
      <c r="G6" s="3" t="inlineStr">
        <is>
          <t>Delivery costs: TA/ops, materials, tools</t>
        </is>
      </c>
      <c r="H6" s="3" t="inlineStr">
        <is>
          <t>E-</t>
        </is>
      </c>
    </row>
    <row r="7">
      <c r="A7" s="3" t="inlineStr">
        <is>
          <t>Membership</t>
        </is>
      </c>
      <c r="B7" s="3" t="inlineStr">
        <is>
          <t>Active members (avg monthly)</t>
        </is>
      </c>
      <c r="C7" s="3" t="inlineStr">
        <is>
          <t>people</t>
        </is>
      </c>
      <c r="D7" s="4" t="inlineStr"/>
      <c r="E7" s="4" t="inlineStr"/>
      <c r="F7" s="4" t="inlineStr"/>
      <c r="G7" s="3" t="inlineStr">
        <is>
          <t>Average number of paying members per month</t>
        </is>
      </c>
      <c r="H7" s="3" t="inlineStr">
        <is>
          <t>E-</t>
        </is>
      </c>
    </row>
    <row r="8">
      <c r="A8" s="3" t="inlineStr">
        <is>
          <t>Membership</t>
        </is>
      </c>
      <c r="B8" s="3" t="inlineStr">
        <is>
          <t>Avg membership price (blended)</t>
        </is>
      </c>
      <c r="C8" s="3" t="inlineStr">
        <is>
          <t>CNY/member/month</t>
        </is>
      </c>
      <c r="D8" s="4" t="inlineStr"/>
      <c r="E8" s="4" t="inlineStr"/>
      <c r="F8" s="4" t="inlineStr"/>
      <c r="G8" s="3" t="inlineStr">
        <is>
          <t>Blended monthly revenue per active member</t>
        </is>
      </c>
      <c r="H8" s="3" t="inlineStr">
        <is>
          <t>E-</t>
        </is>
      </c>
    </row>
    <row r="9">
      <c r="A9" s="3" t="inlineStr">
        <is>
          <t>Membership</t>
        </is>
      </c>
      <c r="B9" s="3" t="inlineStr">
        <is>
          <t>Cost per active member (variable)</t>
        </is>
      </c>
      <c r="C9" s="3" t="inlineStr">
        <is>
          <t>CNY/member/month</t>
        </is>
      </c>
      <c r="D9" s="4" t="inlineStr"/>
      <c r="E9" s="4" t="inlineStr"/>
      <c r="F9" s="4" t="inlineStr"/>
      <c r="G9" s="3" t="inlineStr">
        <is>
          <t>Support, tools, content updates, ops</t>
        </is>
      </c>
      <c r="H9" s="3" t="inlineStr">
        <is>
          <t>E-</t>
        </is>
      </c>
    </row>
    <row r="10">
      <c r="A10" s="3" t="inlineStr">
        <is>
          <t>Goods</t>
        </is>
      </c>
      <c r="B10" s="3" t="inlineStr">
        <is>
          <t>Purchasing users (unique)</t>
        </is>
      </c>
      <c r="C10" s="3" t="inlineStr">
        <is>
          <t>people</t>
        </is>
      </c>
      <c r="D10" s="4" t="inlineStr"/>
      <c r="E10" s="4" t="inlineStr"/>
      <c r="F10" s="4" t="inlineStr"/>
      <c r="G10" s="3" t="inlineStr">
        <is>
          <t>Users who placed ≥1 order in the year</t>
        </is>
      </c>
      <c r="H10" s="3" t="inlineStr">
        <is>
          <t>E-</t>
        </is>
      </c>
    </row>
    <row r="11">
      <c r="A11" s="3" t="inlineStr">
        <is>
          <t>Goods</t>
        </is>
      </c>
      <c r="B11" s="3" t="inlineStr">
        <is>
          <t>Orders per purchasing user</t>
        </is>
      </c>
      <c r="C11" s="3" t="inlineStr">
        <is>
          <t>orders/user/year</t>
        </is>
      </c>
      <c r="D11" s="4" t="inlineStr"/>
      <c r="E11" s="4" t="inlineStr"/>
      <c r="F11" s="4" t="inlineStr"/>
      <c r="G11" s="3" t="inlineStr">
        <is>
          <t>Average annual purchase frequency</t>
        </is>
      </c>
      <c r="H11" s="3" t="inlineStr">
        <is>
          <t>E-</t>
        </is>
      </c>
    </row>
    <row r="12">
      <c r="A12" s="3" t="inlineStr">
        <is>
          <t>Goods</t>
        </is>
      </c>
      <c r="B12" s="3" t="inlineStr">
        <is>
          <t>Average order value (AOV)</t>
        </is>
      </c>
      <c r="C12" s="3" t="inlineStr">
        <is>
          <t>CNY/order</t>
        </is>
      </c>
      <c r="D12" s="4" t="inlineStr"/>
      <c r="E12" s="4" t="inlineStr"/>
      <c r="F12" s="4" t="inlineStr"/>
      <c r="G12" s="3" t="inlineStr">
        <is>
          <t>Revenue per order (incl. bundles)</t>
        </is>
      </c>
      <c r="H12" s="3" t="inlineStr">
        <is>
          <t>E-</t>
        </is>
      </c>
    </row>
    <row r="13">
      <c r="A13" s="3" t="inlineStr">
        <is>
          <t>Goods</t>
        </is>
      </c>
      <c r="B13" s="3" t="inlineStr">
        <is>
          <t>Gross margin rate</t>
        </is>
      </c>
      <c r="C13" s="3" t="inlineStr">
        <is>
          <t>%</t>
        </is>
      </c>
      <c r="D13" s="5" t="inlineStr"/>
      <c r="E13" s="5" t="inlineStr"/>
      <c r="F13" s="5" t="inlineStr"/>
      <c r="G13" s="3" t="inlineStr">
        <is>
          <t>Gross margin on goods revenue (after COGS &amp; variable fulfillment)</t>
        </is>
      </c>
      <c r="H13" s="3" t="inlineStr">
        <is>
          <t>E-</t>
        </is>
      </c>
    </row>
    <row r="16">
      <c r="A16" s="6" t="inlineStr">
        <is>
          <t>Quick Checks</t>
        </is>
      </c>
    </row>
    <row r="17">
      <c r="A17" s="7" t="inlineStr">
        <is>
          <t>• If you sell both 7-day &amp; 14-day camps, set blended price accordingly.</t>
        </is>
      </c>
    </row>
    <row r="18">
      <c r="A18" s="7" t="inlineStr">
        <is>
          <t>• Gross margin rate is for goods only; camp &amp; membership use variable costs above.</t>
        </is>
      </c>
    </row>
    <row r="19">
      <c r="A19" s="7" t="inlineStr">
        <is>
          <t>• Use your MVP evidence IDs (E-xx) in Source / Evidence ID column.</t>
        </is>
      </c>
    </row>
  </sheetData>
  <mergeCells count="5">
    <mergeCell ref="A18:H18"/>
    <mergeCell ref="A16:H16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26" customWidth="1" min="5" max="5"/>
    <col width="10" customWidth="1" min="6" max="6"/>
    <col width="26" customWidth="1" min="7" max="7"/>
    <col width="28" customWidth="1" min="8" max="8"/>
  </cols>
  <sheetData>
    <row r="1">
      <c r="A1" s="1" t="inlineStr">
        <is>
          <t>Three-Year Revenue Breakdown (Revenue &amp; Gross Profit)</t>
        </is>
      </c>
    </row>
    <row r="4">
      <c r="A4" s="2" t="inlineStr">
        <is>
          <t>Line Item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Formula / Driver</t>
        </is>
      </c>
      <c r="F4" s="2" t="inlineStr">
        <is>
          <t>Unit</t>
        </is>
      </c>
      <c r="G4" s="2" t="inlineStr">
        <is>
          <t>Input Source (Assumptions)</t>
        </is>
      </c>
      <c r="H4" s="2" t="inlineStr">
        <is>
          <t>Notes</t>
        </is>
      </c>
    </row>
    <row r="5">
      <c r="A5" s="8" t="inlineStr">
        <is>
          <t>Theme Camp Revenue</t>
        </is>
      </c>
      <c r="B5" s="9">
        <f>Assumptions!D4*Assumptions!D5</f>
        <v/>
      </c>
      <c r="C5" s="9">
        <f>Assumptions!E4*Assumptions!E5</f>
        <v/>
      </c>
      <c r="D5" s="9">
        <f>Assumptions!F4*Assumptions!F5</f>
        <v/>
      </c>
      <c r="E5" s="3" t="inlineStr">
        <is>
          <t>Participants × Avg price</t>
        </is>
      </c>
      <c r="F5" s="3" t="inlineStr">
        <is>
          <t>CNY</t>
        </is>
      </c>
      <c r="G5" s="3" t="inlineStr">
        <is>
          <t>Assumptions (Theme Camp)</t>
        </is>
      </c>
      <c r="H5" s="3" t="inlineStr">
        <is>
          <t>Content paid products (7/14-day)</t>
        </is>
      </c>
    </row>
    <row r="6">
      <c r="A6" s="3" t="inlineStr">
        <is>
          <t>Theme Camp Variable Cost</t>
        </is>
      </c>
      <c r="B6" s="9">
        <f>Assumptions!D4*Assumptions!D6</f>
        <v/>
      </c>
      <c r="C6" s="9">
        <f>Assumptions!E4*Assumptions!E6</f>
        <v/>
      </c>
      <c r="D6" s="9">
        <f>Assumptions!F4*Assumptions!F6</f>
        <v/>
      </c>
      <c r="E6" s="3" t="inlineStr">
        <is>
          <t>Participants × Cost/participant</t>
        </is>
      </c>
      <c r="F6" s="3" t="inlineStr">
        <is>
          <t>CNY</t>
        </is>
      </c>
      <c r="G6" s="3" t="inlineStr">
        <is>
          <t>Assumptions (Theme Camp)</t>
        </is>
      </c>
      <c r="H6" s="3" t="inlineStr">
        <is>
          <t>Ops/TA/tools per participant</t>
        </is>
      </c>
    </row>
    <row r="7">
      <c r="A7" s="8" t="inlineStr">
        <is>
          <t>Theme Camp Gross Profit</t>
        </is>
      </c>
      <c r="B7" s="9">
        <f>B6-B7</f>
        <v/>
      </c>
      <c r="C7" s="9">
        <f>C6-C7</f>
        <v/>
      </c>
      <c r="D7" s="9">
        <f>D6-D7</f>
        <v/>
      </c>
      <c r="E7" s="3" t="inlineStr">
        <is>
          <t>Revenue − Variable cost</t>
        </is>
      </c>
      <c r="F7" s="3" t="inlineStr">
        <is>
          <t>CNY</t>
        </is>
      </c>
      <c r="G7" s="3" t="inlineStr">
        <is>
          <t>Calculated</t>
        </is>
      </c>
      <c r="H7" s="3" t="inlineStr">
        <is>
          <t>Gross profit for camps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8" t="inlineStr">
        <is>
          <t>Membership Revenue</t>
        </is>
      </c>
      <c r="B9" s="9">
        <f>Assumptions!D7*Assumptions!D8*12</f>
        <v/>
      </c>
      <c r="C9" s="9">
        <f>Assumptions!E7*Assumptions!E8*12</f>
        <v/>
      </c>
      <c r="D9" s="9">
        <f>Assumptions!F7*Assumptions!F8*12</f>
        <v/>
      </c>
      <c r="E9" s="3" t="inlineStr">
        <is>
          <t>Avg monthly members × Price/month × 12</t>
        </is>
      </c>
      <c r="F9" s="3" t="inlineStr">
        <is>
          <t>CNY</t>
        </is>
      </c>
      <c r="G9" s="3" t="inlineStr">
        <is>
          <t>Assumptions (Membership)</t>
        </is>
      </c>
      <c r="H9" s="3" t="inlineStr">
        <is>
          <t>Blended membership revenue</t>
        </is>
      </c>
    </row>
    <row r="10">
      <c r="A10" s="3" t="inlineStr">
        <is>
          <t>Membership Variable Cost</t>
        </is>
      </c>
      <c r="B10" s="9">
        <f>Assumptions!D7*Assumptions!D9*12</f>
        <v/>
      </c>
      <c r="C10" s="9">
        <f>Assumptions!E7*Assumptions!E9*12</f>
        <v/>
      </c>
      <c r="D10" s="9">
        <f>Assumptions!F7*Assumptions!F9*12</f>
        <v/>
      </c>
      <c r="E10" s="3" t="inlineStr">
        <is>
          <t>Avg monthly members × Cost/member/month × 12</t>
        </is>
      </c>
      <c r="F10" s="3" t="inlineStr">
        <is>
          <t>CNY</t>
        </is>
      </c>
      <c r="G10" s="3" t="inlineStr">
        <is>
          <t>Assumptions (Membership)</t>
        </is>
      </c>
      <c r="H10" s="3" t="inlineStr">
        <is>
          <t>Support &amp; tools per member</t>
        </is>
      </c>
    </row>
    <row r="11">
      <c r="A11" s="8" t="inlineStr">
        <is>
          <t>Membership Gross Profit</t>
        </is>
      </c>
      <c r="B11" s="9">
        <f>B10-B11</f>
        <v/>
      </c>
      <c r="C11" s="9">
        <f>C10-C11</f>
        <v/>
      </c>
      <c r="D11" s="9">
        <f>D10-D11</f>
        <v/>
      </c>
      <c r="E11" s="3" t="inlineStr">
        <is>
          <t>Revenue − Variable cost</t>
        </is>
      </c>
      <c r="F11" s="3" t="inlineStr">
        <is>
          <t>CNY</t>
        </is>
      </c>
      <c r="G11" s="3" t="inlineStr">
        <is>
          <t>Calculated</t>
        </is>
      </c>
      <c r="H11" s="3" t="inlineStr">
        <is>
          <t>Gross profit for membership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8" t="inlineStr">
        <is>
          <t>Goods Revenue</t>
        </is>
      </c>
      <c r="B13" s="9">
        <f>Assumptions!D10*Assumptions!D11*Assumptions!D12</f>
        <v/>
      </c>
      <c r="C13" s="9">
        <f>Assumptions!E10*Assumptions!E11*Assumptions!E12</f>
        <v/>
      </c>
      <c r="D13" s="9">
        <f>Assumptions!F10*Assumptions!F11*Assumptions!F12</f>
        <v/>
      </c>
      <c r="E13" s="3" t="inlineStr">
        <is>
          <t>Purchasing users × Orders/user × AOV</t>
        </is>
      </c>
      <c r="F13" s="3" t="inlineStr">
        <is>
          <t>CNY</t>
        </is>
      </c>
      <c r="G13" s="3" t="inlineStr">
        <is>
          <t>Assumptions (Goods)</t>
        </is>
      </c>
      <c r="H13" s="3" t="inlineStr">
        <is>
          <t>Total goods GMV / revenue</t>
        </is>
      </c>
    </row>
    <row r="14">
      <c r="A14" s="8" t="inlineStr">
        <is>
          <t>Goods Gross Profit</t>
        </is>
      </c>
      <c r="B14" s="9">
        <f>B14*Assumptions!D13</f>
        <v/>
      </c>
      <c r="C14" s="9">
        <f>C14*Assumptions!E13</f>
        <v/>
      </c>
      <c r="D14" s="9">
        <f>D14*Assumptions!F13</f>
        <v/>
      </c>
      <c r="E14" s="3" t="inlineStr">
        <is>
          <t>Goods Revenue × Gross margin rate</t>
        </is>
      </c>
      <c r="F14" s="3" t="inlineStr">
        <is>
          <t>CNY</t>
        </is>
      </c>
      <c r="G14" s="3" t="inlineStr">
        <is>
          <t>Assumptions (Goods)</t>
        </is>
      </c>
      <c r="H14" s="3" t="inlineStr">
        <is>
          <t>Gross profit after COGS &amp; variable fulfillment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10" t="inlineStr">
        <is>
          <t>Total Revenue (Camps + Membership + Goods)</t>
        </is>
      </c>
      <c r="B16" s="11">
        <f>B6+B10+B14</f>
        <v/>
      </c>
      <c r="C16" s="11">
        <f>C6+C10+C14</f>
        <v/>
      </c>
      <c r="D16" s="11">
        <f>D6+D10+D14</f>
        <v/>
      </c>
      <c r="E16" s="10" t="inlineStr">
        <is>
          <t>Sum of revenue lines</t>
        </is>
      </c>
      <c r="F16" s="10" t="inlineStr">
        <is>
          <t>CNY</t>
        </is>
      </c>
      <c r="G16" s="10" t="inlineStr">
        <is>
          <t>Calculated</t>
        </is>
      </c>
      <c r="H16" s="10" t="inlineStr">
        <is>
          <t>Top-line revenue</t>
        </is>
      </c>
    </row>
    <row r="17">
      <c r="A17" s="10" t="inlineStr">
        <is>
          <t>Total Gross Profit</t>
        </is>
      </c>
      <c r="B17" s="11">
        <f>B8+B12+B15</f>
        <v/>
      </c>
      <c r="C17" s="11">
        <f>C8+C12+C15</f>
        <v/>
      </c>
      <c r="D17" s="11">
        <f>D8+D12+D15</f>
        <v/>
      </c>
      <c r="E17" s="10" t="inlineStr">
        <is>
          <t>Sum of gross profit lines</t>
        </is>
      </c>
      <c r="F17" s="10" t="inlineStr">
        <is>
          <t>CNY</t>
        </is>
      </c>
      <c r="G17" s="10" t="inlineStr">
        <is>
          <t>Calculated</t>
        </is>
      </c>
      <c r="H17" s="10" t="inlineStr">
        <is>
          <t>Total gross profit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</t>
        </is>
      </c>
    </row>
    <row r="3">
      <c r="A3" s="7" t="inlineStr">
        <is>
          <t>1) Fill all yellow cells in the Assumptions sheet for Year 1–Year 3.</t>
        </is>
      </c>
    </row>
    <row r="4">
      <c r="A4" s="7" t="inlineStr">
        <is>
          <t>2) Revenue_Breakdown will calculate revenue and gross profit automatically (green cells).</t>
        </is>
      </c>
    </row>
    <row r="5">
      <c r="A5" s="7" t="inlineStr">
        <is>
          <t>3) Use consistent units (CNY) and keep assumptions conservative for competition judging.</t>
        </is>
      </c>
    </row>
    <row r="6">
      <c r="A6" s="7" t="inlineStr">
        <is>
          <t>4) Put your evidence IDs (E-xx) in Assumptions column H to prove assumptions.</t>
        </is>
      </c>
    </row>
    <row r="7">
      <c r="A7" s="7" t="n"/>
    </row>
    <row r="8">
      <c r="A8" s="12" t="inlineStr">
        <is>
          <t>Tips for Conservative Assumptions</t>
        </is>
      </c>
    </row>
    <row r="9">
      <c r="A9" s="7" t="inlineStr">
        <is>
          <t>• Start with low conversion rates and modest AOV; focus on improving retention and repeat purchases.</t>
        </is>
      </c>
    </row>
    <row r="10">
      <c r="A10" s="7" t="inlineStr">
        <is>
          <t>• Keep goods gross margin modest if using distribution/affiliate models.</t>
        </is>
      </c>
    </row>
    <row r="11">
      <c r="A11" s="7" t="inlineStr">
        <is>
          <t>• Track variable costs carefully; service-heavy models can leak margin if support scales poorly.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2026-02-15T17:42:26Z</dcterms:created>
  <dcterms:modified xmlns:dcterms="http://purl.org/dc/terms/" xmlns:xsi="http://www.w3.org/2001/XMLSchema-instance" xsi:type="dcterms:W3CDTF">2026-02-15T17:42:26Z</dcterms:modified>
</cp:coreProperties>
</file>